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วิธีใช้" sheetId="1" state="visible" r:id="rId3"/>
    <sheet name="ภาพรวม" sheetId="2" state="visible" r:id="rId4"/>
    <sheet name="ประวัติการขาย" sheetId="3" state="visible" r:id="rId5"/>
    <sheet name="สต๊อก-iTunes" sheetId="4" state="visible" r:id="rId6"/>
    <sheet name="สต๊อก-Razer" sheetId="5" state="visible" r:id="rId7"/>
    <sheet name="สต๊อก-Mycard" sheetId="6" state="visible" r:id="rId8"/>
    <sheet name="สต๊อก-USDT-PHP" sheetId="7" state="visible" r:id="rId9"/>
    <sheet name="Supply" sheetId="8" state="visible" r:id="rId10"/>
    <sheet name="วิเคราะห์ SKU" sheetId="9" state="visible" r:id="rId11"/>
    <sheet name="รายชื่อเกม" sheetId="10" state="visible" r:id="rId12"/>
    <sheet name="_agg" sheetId="11" state="hidden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<sst xmlns="http://schemas.openxmlformats.org/spreadsheetml/2006/main" count="298" uniqueCount="158">
  <si>
    <t xml:space="preserve">📘 วิธีใช้แดชบอร์ด Termthukshop</t>
  </si>
  <si>
    <t xml:space="preserve">ยินดีต้อนรับสู่ระบบจัดการร้านเติมเกม Termthukshop</t>
  </si>
  <si>
    <t xml:space="preserve">🎯 โครงสร้างชีท</t>
  </si>
  <si>
    <t xml:space="preserve">1. ภาพรวม — Dashboard สรุป KPI / กราฟเกมขายดี / สรุปสต๊อก / Supply</t>
  </si>
  <si>
    <t xml:space="preserve">2. ประวัติการขาย — บันทึกรายการขายทั้งหมด (มี Dropdown และสูตรคำนวณกำไรอัตโนมัติ)</t>
  </si>
  <si>
    <t xml:space="preserve">3. สต๊อก-iTunes / สต๊อก-Razer / สต๊อก-Mycard / สต๊อก-USDT-PHP — บันทึกสต๊อกแยกประเภท พร้อมราคาเฉลี่ย</t>
  </si>
  <si>
    <t xml:space="preserve">4. Supply — บันทึก Supply จากผู้ขาย 4 ราย (จอนชาวไร่ / Kingpro / Over / 24BuyM)</t>
  </si>
  <si>
    <t xml:space="preserve">5. วิเคราะห์ SKU — Top 20 เกม + บทวิเคราะห์อัตโนมัติ</t>
  </si>
  <si>
    <t xml:space="preserve">6. รายชื่อเกม — สรุปต่อเกม + เครื่องมือคำนวนราคา</t>
  </si>
  <si>
    <t xml:space="preserve">🧭 วิธีใช้</t>
  </si>
  <si>
    <t xml:space="preserve">• เริ่มจากชีท "ประวัติการขาย" — กรอกข้อมูลทีละแถว เลือกสต๊อกและช่องทางจาก Dropdown</t>
  </si>
  <si>
    <t xml:space="preserve">• คอลัมน์ที่เป็นสีน้ำเงิน = ช่องที่ผู้ใช้กรอกเอง / สีดำ = สูตรคำนวณ (อย่าแก้)</t>
  </si>
  <si>
    <t xml:space="preserve">• ทุกชีท Dashboard และวิเคราะห์ SKU จะอัปเดตค่าโดยอัตโนมัติเมื่อเพิ่มข้อมูลใหม่</t>
  </si>
  <si>
    <t xml:space="preserve">• เพิ่มเกมใหม่ในชีท _agg (ถูกซ่อนไว้) ในคอลัมน์ A — ระบบจะคำนวนสรุปให้ทันที</t>
  </si>
  <si>
    <t xml:space="preserve">  หรือคลิกขวาที่ชื่อชีทด้านล่าง → Unhide → "_agg" เพื่อแก้ไข</t>
  </si>
  <si>
    <t xml:space="preserve">💡 เคล็ดลับ</t>
  </si>
  <si>
    <t xml:space="preserve">• ใช้ HTML Dashboard (Termthukshop_Dashboard.html) คู่กันได้ — เก็บข้อมูลใน browser แยกจากไฟล์ Excel</t>
  </si>
  <si>
    <t xml:space="preserve">• ส่งออกข้อมูลจาก HTML เป็น CSV เพื่อนำเข้าใน Excel ได้</t>
  </si>
  <si>
    <t xml:space="preserve">• ตรวจสอบ Margin เฉลี่ย — ถ้าต่ำกว่า 10% ให้พิจารณาปรับราคาขายหรือต่อรองต้นทุน</t>
  </si>
  <si>
    <t xml:space="preserve">🎮 Termthukshop — Dashboard ภาพรวม</t>
  </si>
  <si>
    <t xml:space="preserve">ต้นทุนรวม</t>
  </si>
  <si>
    <t xml:space="preserve">ยอดขายรวม</t>
  </si>
  <si>
    <t xml:space="preserve">กำไรรวม</t>
  </si>
  <si>
    <t xml:space="preserve">จำนวนรายการ</t>
  </si>
  <si>
    <t xml:space="preserve">Margin เฉลี่ย</t>
  </si>
  <si>
    <t xml:space="preserve">ราคาขายเฉลี่ย/รายการ</t>
  </si>
  <si>
    <t xml:space="preserve">🏆 เกมขายดี (Top 10 ตามจำนวนรายการ)</t>
  </si>
  <si>
    <t xml:space="preserve">อันดับ</t>
  </si>
  <si>
    <t xml:space="preserve">เกม</t>
  </si>
  <si>
    <t xml:space="preserve">จำนวน</t>
  </si>
  <si>
    <t xml:space="preserve">ยอดขาย</t>
  </si>
  <si>
    <t xml:space="preserve">ต้นทุน</t>
  </si>
  <si>
    <t xml:space="preserve">กำไร</t>
  </si>
  <si>
    <t xml:space="preserve">Margin %</t>
  </si>
  <si>
    <t xml:space="preserve">📦 สรุปสต๊อก / Rate (ราคาเฉลี่ย/หน่วย)</t>
  </si>
  <si>
    <t xml:space="preserve">สต๊อก</t>
  </si>
  <si>
    <t xml:space="preserve">มูลค่า/จำนวนรวม</t>
  </si>
  <si>
    <t xml:space="preserve">ต้นทุนรวม (฿)</t>
  </si>
  <si>
    <t xml:space="preserve">ราคาเฉลี่ย/หน่วย</t>
  </si>
  <si>
    <t xml:space="preserve">iTunes</t>
  </si>
  <si>
    <t xml:space="preserve">Razer</t>
  </si>
  <si>
    <t xml:space="preserve">Mycard</t>
  </si>
  <si>
    <t xml:space="preserve">USDT/PHP</t>
  </si>
  <si>
    <t xml:space="preserve">🚚 Supply (ต้นทุนรวมจากผู้ขาย)</t>
  </si>
  <si>
    <t xml:space="preserve">ผู้ขาย</t>
  </si>
  <si>
    <t xml:space="preserve">ค้างส่ง</t>
  </si>
  <si>
    <t xml:space="preserve">จอนชาวไร่</t>
  </si>
  <si>
    <t xml:space="preserve">Kingpro</t>
  </si>
  <si>
    <t xml:space="preserve">Over</t>
  </si>
  <si>
    <t xml:space="preserve">24BuyM</t>
  </si>
  <si>
    <t xml:space="preserve">📜 ประวัติการขาย — Termthukshop</t>
  </si>
  <si>
    <t xml:space="preserve">วันที่</t>
  </si>
  <si>
    <t xml:space="preserve">ผู้ซื้อ</t>
  </si>
  <si>
    <t xml:space="preserve">ช่องทาง</t>
  </si>
  <si>
    <t xml:space="preserve">ต้นทุน (฿)</t>
  </si>
  <si>
    <t xml:space="preserve">ยอดขาย (฿)</t>
  </si>
  <si>
    <t xml:space="preserve">กำไร (฿)</t>
  </si>
  <si>
    <t xml:space="preserve">หมายเหตุ</t>
  </si>
  <si>
    <t xml:space="preserve">2026-04-25</t>
  </si>
  <si>
    <t xml:space="preserve">ลูกค้า A</t>
  </si>
  <si>
    <t xml:space="preserve">แอดมิน</t>
  </si>
  <si>
    <t xml:space="preserve">Free Fire</t>
  </si>
  <si>
    <t xml:space="preserve">TrueWallet</t>
  </si>
  <si>
    <t xml:space="preserve">Voucher 100</t>
  </si>
  <si>
    <t xml:space="preserve">2026-04-26</t>
  </si>
  <si>
    <t xml:space="preserve">ลูกค้า B</t>
  </si>
  <si>
    <t xml:space="preserve">ROV</t>
  </si>
  <si>
    <t xml:space="preserve">SCB</t>
  </si>
  <si>
    <t xml:space="preserve">เพชร 80</t>
  </si>
  <si>
    <t xml:space="preserve">ลูกค้า C</t>
  </si>
  <si>
    <t xml:space="preserve">Genshin Impact</t>
  </si>
  <si>
    <t xml:space="preserve">USDT</t>
  </si>
  <si>
    <t xml:space="preserve">Welkin</t>
  </si>
  <si>
    <t xml:space="preserve">2026-04-27</t>
  </si>
  <si>
    <t xml:space="preserve">ลูกค้า D</t>
  </si>
  <si>
    <t xml:space="preserve">Mobile Legends</t>
  </si>
  <si>
    <t xml:space="preserve">KBank</t>
  </si>
  <si>
    <t xml:space="preserve">2026-04-28</t>
  </si>
  <si>
    <t xml:space="preserve">ลูกค้า E</t>
  </si>
  <si>
    <t xml:space="preserve">PUBG Mobile</t>
  </si>
  <si>
    <t xml:space="preserve">BBL</t>
  </si>
  <si>
    <t xml:space="preserve">UC 660</t>
  </si>
  <si>
    <t xml:space="preserve">ลูกค้า F</t>
  </si>
  <si>
    <t xml:space="preserve">2026-04-29</t>
  </si>
  <si>
    <t xml:space="preserve">ลูกค้า G</t>
  </si>
  <si>
    <t xml:space="preserve">ลูกค้า H</t>
  </si>
  <si>
    <t xml:space="preserve">PromptPay</t>
  </si>
  <si>
    <t xml:space="preserve">2026-04-30</t>
  </si>
  <si>
    <t xml:space="preserve">ลูกค้าประจำ</t>
  </si>
  <si>
    <t xml:space="preserve">📦 สต๊อก-iTunes</t>
  </si>
  <si>
    <t xml:space="preserve">มูลค่าหน้าบัตร ($)</t>
  </si>
  <si>
    <t xml:space="preserve">ราคา/หน่วย</t>
  </si>
  <si>
    <t xml:space="preserve">แหล่งที่ซื้อ</t>
  </si>
  <si>
    <t xml:space="preserve">คงเหลือ</t>
  </si>
  <si>
    <t xml:space="preserve">2026-04-20</t>
  </si>
  <si>
    <t xml:space="preserve">iTunes 100$</t>
  </si>
  <si>
    <t xml:space="preserve">2026-04-22</t>
  </si>
  <si>
    <t xml:space="preserve">iTunes 50$</t>
  </si>
  <si>
    <t xml:space="preserve">รวมทั้งหมด</t>
  </si>
  <si>
    <t xml:space="preserve">📦 สต๊อก-Razer</t>
  </si>
  <si>
    <t xml:space="preserve">2026-04-21</t>
  </si>
  <si>
    <t xml:space="preserve">📦 สต๊อก-Mycard</t>
  </si>
  <si>
    <t xml:space="preserve">มูลค่า / Point</t>
  </si>
  <si>
    <t xml:space="preserve">📦 สต๊อก-USDT-PHP</t>
  </si>
  <si>
    <t xml:space="preserve">จำนวน (USDT/PHP)</t>
  </si>
  <si>
    <t xml:space="preserve">PHP</t>
  </si>
  <si>
    <t xml:space="preserve">🚚 Supply ส่งสินค้า — บันทึกผู้จัดส่งทั้ง 4 ราย</t>
  </si>
  <si>
    <t xml:space="preserve">รายการ</t>
  </si>
  <si>
    <t xml:space="preserve">มูลค่าหน้าบัตร</t>
  </si>
  <si>
    <t xml:space="preserve">สถานะ</t>
  </si>
  <si>
    <t xml:space="preserve">Tracking</t>
  </si>
  <si>
    <t xml:space="preserve">iTunes 100$ x1</t>
  </si>
  <si>
    <t xml:space="preserve">ได้รับแล้ว</t>
  </si>
  <si>
    <t xml:space="preserve">iTunes 50$ x1</t>
  </si>
  <si>
    <t xml:space="preserve">Razer Gold 50$ x1</t>
  </si>
  <si>
    <t xml:space="preserve">Razer Gold 100$ x1</t>
  </si>
  <si>
    <t xml:space="preserve">กำลังส่ง</t>
  </si>
  <si>
    <t xml:space="preserve">USDT 100</t>
  </si>
  <si>
    <t xml:space="preserve">PHP 200</t>
  </si>
  <si>
    <t xml:space="preserve">รอจัดส่ง</t>
  </si>
  <si>
    <t xml:space="preserve">🧠 วิเคราะห์ SKU — เกมขายดี / กำไร / Trend</t>
  </si>
  <si>
    <t xml:space="preserve">📊 บทวิเคราะห์อัตโนมัติ</t>
  </si>
  <si>
    <t xml:space="preserve">ยอดขายรวม:</t>
  </si>
  <si>
    <t xml:space="preserve">ต้นทุนรวม:</t>
  </si>
  <si>
    <t xml:space="preserve">กำไรรวม:</t>
  </si>
  <si>
    <t xml:space="preserve">🎯 รายชื่อเกม / คำนวนต้นทุน</t>
  </si>
  <si>
    <t xml:space="preserve">หมวด</t>
  </si>
  <si>
    <t xml:space="preserve">ต้นทุนเฉลี่ย</t>
  </si>
  <si>
    <t xml:space="preserve">ราคาขายเฉลี่ย</t>
  </si>
  <si>
    <t xml:space="preserve">กำไรเฉลี่ย</t>
  </si>
  <si>
    <t xml:space="preserve">ราคาขายแนะนำ (+25%)</t>
  </si>
  <si>
    <t xml:space="preserve">🧮 คำนวนต้นทุน → ราคาขาย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</si>
  <si>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DejaVu Sans"/>
        <family val="2"/>
      </rPr>
      <t xml:space="preserve">กำไรที่ต้องการ</t>
    </r>
  </si>
  <si>
    <t xml:space="preserve">ราคาขายแนะนำ</t>
  </si>
  <si>
    <t xml:space="preserve">กำไร/รายการ</t>
  </si>
  <si>
    <t xml:space="preserve">ตารางอัตรากำไรอ้างอิง</t>
  </si>
  <si>
    <t xml:space="preserve">% กำไร</t>
  </si>
  <si>
    <t xml:space="preserve">ตัวคูณ (×)</t>
  </si>
  <si>
    <t xml:space="preserve">Margin</t>
  </si>
  <si>
    <t xml:space="preserve">นับ</t>
  </si>
  <si>
    <t xml:space="preserve">Krungthai</t>
  </si>
  <si>
    <t xml:space="preserve">เติมตรง</t>
  </si>
  <si>
    <t xml:space="preserve">Honor of Kings</t>
  </si>
  <si>
    <t xml:space="preserve">Valorant</t>
  </si>
  <si>
    <t xml:space="preserve">Call of Duty Mobile</t>
  </si>
  <si>
    <t xml:space="preserve">เงินสด</t>
  </si>
  <si>
    <t xml:space="preserve">Identity V</t>
  </si>
  <si>
    <t xml:space="preserve">อื่นๆ</t>
  </si>
  <si>
    <t xml:space="preserve">Lineage W</t>
  </si>
  <si>
    <t xml:space="preserve">Ragnarok X</t>
  </si>
  <si>
    <t xml:space="preserve">Roblox</t>
  </si>
  <si>
    <t xml:space="preserve">Minecraft</t>
  </si>
  <si>
    <t xml:space="preserve">Steam Wallet</t>
  </si>
  <si>
    <t xml:space="preserve">Apple Gift Card</t>
  </si>
  <si>
    <t xml:space="preserve">Razer Gold Pin</t>
  </si>
  <si>
    <t xml:space="preserve">Garena Shells</t>
  </si>
  <si>
    <t xml:space="preserve">Wild Rift</t>
  </si>
  <si>
    <t xml:space="preserve">Arena Breakout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</si>
</sst>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฿#,##0.00;[RED]&quot;(฿&quot;#,##0.00\);\-"/>
    <numFmt numFmtId="166" formatCode="#,##0;[RED]\(#,##0\);\-"/>
    <numFmt numFmtId="167" formatCode="0.0%;[RED]\(0.0%\);\-"/>
    <numFmt numFmtId="168" formatCode="#,##0.00;[RED]\(#,##0.00\);\-"/>
    <numFmt numFmtId="169" formatCode="yyyy\-mm\-dd"/>
    <numFmt numFmtId="170" formatCode="0.0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0EA5E9"/>
      <name val="Arial"/>
      <family val="0"/>
      <charset val="1"/>
    </font>
    <font>
      <sz val="11"/>
      <color rgb="FF37415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D97706"/>
      <name val="Arial"/>
      <family val="0"/>
      <charset val="1"/>
    </font>
    <font>
      <b val="true"/>
      <sz val="18"/>
      <color rgb="FF0891B2"/>
      <name val="Arial"/>
      <family val="0"/>
      <charset val="1"/>
    </font>
    <font>
      <b val="true"/>
      <sz val="18"/>
      <color rgb="FF059669"/>
      <name val="Arial"/>
      <family val="0"/>
      <charset val="1"/>
    </font>
    <font>
      <b val="true"/>
      <sz val="18"/>
      <color rgb="FF7C3AED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2"/>
      <color rgb="FF059669"/>
      <name val="Arial"/>
      <family val="0"/>
      <charset val="1"/>
    </font>
    <font>
      <b val="true"/>
      <sz val="12"/>
      <color rgb="FF0891B2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sz val="11"/>
      <color rgb="FF0000FF"/>
      <name val="Arial"/>
      <family val="0"/>
      <charset val="1"/>
    </font>
    <font>
      <b val="true"/>
      <sz val="14"/>
      <color rgb="FF0EA5E9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3"/>
      <color rgb="FF0EA5E9"/>
      <name val="Arial"/>
      <family val="0"/>
      <charset val="1"/>
    </font>
    <font>
      <sz val="11"/>
      <color theme="1"/>
      <name val="DejaVu Sans"/>
      <family val="2"/>
      <charset val="1"/>
    </font>
    <font>
      <sz val="11"/>
      <color theme="1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0EA5E9"/>
        <bgColor rgb="FF0891B2"/>
      </patternFill>
    </fill>
    <fill>
      <patternFill patternType="solid">
        <fgColor rgb="FF1F2937"/>
        <bgColor rgb="FF333300"/>
      </patternFill>
    </fill>
    <fill>
      <patternFill patternType="solid">
        <fgColor rgb="FFFFFF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D9D9D9"/>
      <rgbColor rgb="FF878787"/>
      <rgbColor rgb="FF9999FF"/>
      <rgbColor rgb="FFC0504D"/>
      <rgbColor rgb="FFFFFFCC"/>
      <rgbColor rgb="FFF9F9F9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EA5E9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D97706"/>
      <rgbColor rgb="FF6B7280"/>
      <rgbColor rgb="FF8064A2"/>
      <rgbColor rgb="FF003366"/>
      <rgbColor rgb="FF339966"/>
      <rgbColor rgb="FF003300"/>
      <rgbColor rgb="FF333300"/>
      <rgbColor rgb="FF993300"/>
      <rgbColor rgb="FF7C3AED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เกมขายดี Top 10 (จำนวน)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ภาพรวม!D9</c:f>
              <c:strCache>
                <c:ptCount val="1"/>
                <c:pt idx="0">
                  <c:v>ยอดขาย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ภาพรวม!$C$10:$C$19</c:f>
              <c:strCache>
                <c:ptCount val="10"/>
                <c:pt idx="0">
                  <c:v>Genshin Impact</c:v>
                </c:pt>
                <c:pt idx="1">
                  <c:v>Free Fire</c:v>
                </c:pt>
                <c:pt idx="2">
                  <c:v>ROV</c:v>
                </c:pt>
                <c:pt idx="3">
                  <c:v>PUBG Mobile</c:v>
                </c:pt>
                <c:pt idx="4">
                  <c:v>Mobile Legends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ภาพรวม!$D$10:$D$19</c:f>
              <c:numCache>
                <c:formatCode>#,##0;[RED]\(#,##0\);\-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17287092"/>
        <c:axId val="71418571"/>
      </c:barChart>
      <c:catAx>
        <c:axId val="1728709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จำนวน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418571"/>
        <c:crosses val="autoZero"/>
        <c:auto val="1"/>
        <c:lblAlgn val="ctr"/>
        <c:lblOffset val="100"/>
        <c:noMultiLvlLbl val="0"/>
      </c:catAx>
      <c:valAx>
        <c:axId val="71418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เกม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2870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สัดส่วนต้นทุนสต๊อก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ภาพรวม!D23</c:f>
              <c:strCache>
                <c:ptCount val="1"/>
                <c:pt idx="0">
                  <c:v>ราคาเฉลี่ย/หน่วย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ภาพรวม!$B$24:$B$27</c:f>
              <c:strCache>
                <c:ptCount val="4"/>
                <c:pt idx="0">
                  <c:v>iTunes</c:v>
                </c:pt>
                <c:pt idx="1">
                  <c:v>Razer</c:v>
                </c:pt>
                <c:pt idx="2">
                  <c:v>Mycard</c:v>
                </c:pt>
                <c:pt idx="3">
                  <c:v>USDT/PHP</c:v>
                </c:pt>
              </c:strCache>
            </c:strRef>
          </c:cat>
          <c:val>
            <c:numRef>
              <c:f>ภาพรวม!$D$24:$D$27</c:f>
              <c:numCache>
                <c:formatCode>\฿#,##0.00;[RED]"(฿"#,##0.00\);\-</c:formatCode>
                <c:ptCount val="4"/>
                <c:pt idx="0">
                  <c:v>8280</c:v>
                </c:pt>
                <c:pt idx="1">
                  <c:v>5105</c:v>
                </c:pt>
                <c:pt idx="2">
                  <c:v>0</c:v>
                </c:pt>
                <c:pt idx="3">
                  <c:v>3744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8</xdr:row>
      <xdr:rowOff>0</xdr:rowOff>
    </xdr:from>
    <xdr:to>
      <xdr:col>18</xdr:col>
      <xdr:colOff>317880</xdr:colOff>
      <xdr:row>22</xdr:row>
      <xdr:rowOff>136440</xdr:rowOff>
    </xdr:to>
    <xdr:graphicFrame>
      <xdr:nvGraphicFramePr>
        <xdr:cNvPr id="1" name="Chart 1"/>
        <xdr:cNvGraphicFramePr/>
      </xdr:nvGraphicFramePr>
      <xdr:xfrm>
        <a:off x="10572840" y="1962000"/>
        <a:ext cx="6478560" cy="359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14</xdr:col>
      <xdr:colOff>603720</xdr:colOff>
      <xdr:row>30</xdr:row>
      <xdr:rowOff>720720</xdr:rowOff>
    </xdr:to>
    <xdr:graphicFrame>
      <xdr:nvGraphicFramePr>
        <xdr:cNvPr id="2" name="Chart 2"/>
        <xdr:cNvGraphicFramePr/>
      </xdr:nvGraphicFramePr>
      <xdr:xfrm>
        <a:off x="10572840" y="5419800"/>
        <a:ext cx="4318560" cy="28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30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3" t="s">
        <v>3</v>
      </c>
    </row>
    <row r="8" customFormat="false" ht="26.25" hidden="false" customHeight="true" outlineLevel="0" collapsed="false">
      <c r="A8" s="3" t="s">
        <v>4</v>
      </c>
    </row>
    <row r="9" customFormat="false" ht="26.25" hidden="false" customHeight="true" outlineLevel="0" collapsed="false">
      <c r="A9" s="3" t="s">
        <v>5</v>
      </c>
    </row>
    <row r="10" customFormat="false" ht="15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3"/>
    </row>
    <row r="16" customFormat="false" ht="26.25" hidden="false" customHeight="true" outlineLevel="0" collapsed="false">
      <c r="A16" s="5" t="s">
        <v>10</v>
      </c>
    </row>
    <row r="17" customFormat="false" ht="26.25" hidden="false" customHeight="true" outlineLevel="0" collapsed="false">
      <c r="A17" s="5" t="s">
        <v>11</v>
      </c>
    </row>
    <row r="18" customFormat="false" ht="26.25" hidden="false" customHeight="true" outlineLevel="0" collapsed="false">
      <c r="A18" s="5" t="s">
        <v>12</v>
      </c>
    </row>
    <row r="19" customFormat="false" ht="26.25" hidden="false" customHeight="true" outlineLevel="0" collapsed="false">
      <c r="A19" s="5" t="s">
        <v>13</v>
      </c>
    </row>
    <row r="20" customFormat="false" ht="15" hidden="false" customHeight="true" outlineLevel="0" collapsed="false">
      <c r="A20" s="5" t="s">
        <v>14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4" t="s">
        <v>15</v>
      </c>
    </row>
    <row r="23" customFormat="false" ht="15" hidden="false" customHeight="true" outlineLevel="0" collapsed="false">
      <c r="A23" s="3"/>
    </row>
    <row r="24" customFormat="false" ht="26.25" hidden="false" customHeight="true" outlineLevel="0" collapsed="false">
      <c r="A24" s="5" t="s">
        <v>16</v>
      </c>
    </row>
    <row r="25" customFormat="false" ht="15" hidden="false" customHeight="true" outlineLevel="0" collapsed="false">
      <c r="A25" s="5" t="s">
        <v>17</v>
      </c>
    </row>
    <row r="26" customFormat="false" ht="26.25" hidden="false" customHeight="true" outlineLevel="0" collapsed="false">
      <c r="A26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10" min="3" style="1" width="18"/>
  </cols>
  <sheetData>
    <row r="1" customFormat="false" ht="25.5" hidden="false" customHeight="true" outlineLevel="0" collapsed="false">
      <c r="A1" s="6" t="s">
        <v>19</v>
      </c>
      <c r="B1" s="6"/>
      <c r="C1" s="6"/>
      <c r="D1" s="6"/>
      <c r="E1" s="6"/>
      <c r="F1" s="6"/>
      <c r="G1" s="6"/>
      <c r="H1" s="6"/>
      <c r="I1" s="6"/>
      <c r="J1" s="6"/>
    </row>
    <row r="3" customFormat="false" ht="18" hidden="false" customHeight="true" outlineLevel="0" collapsed="false">
      <c r="B3" s="7" t="s">
        <v>20</v>
      </c>
      <c r="D3" s="7" t="s">
        <v>21</v>
      </c>
      <c r="F3" s="7" t="s">
        <v>22</v>
      </c>
      <c r="H3" s="7" t="s">
        <v>23</v>
      </c>
    </row>
    <row r="4" customFormat="false" ht="36" hidden="false" customHeight="true" outlineLevel="0" collapsed="false">
      <c r="B4" s="8" t="n">
        <f aca="false">SUM(ประวัติการขาย!G4:G203)</f>
        <v>2075</v>
      </c>
      <c r="D4" s="9" t="n">
        <f aca="false">SUM(ประวัติการขาย!H4:H203)</f>
        <v>2555</v>
      </c>
      <c r="F4" s="10" t="n">
        <f aca="false">D4-B4</f>
        <v>480</v>
      </c>
      <c r="H4" s="11" t="n">
        <f aca="false">COUNTA(ประวัติการขาย!A4:A203)</f>
        <v>10</v>
      </c>
    </row>
    <row r="6" customFormat="false" ht="15" hidden="false" customHeight="true" outlineLevel="0" collapsed="false">
      <c r="B6" s="12" t="s">
        <v>24</v>
      </c>
      <c r="D6" s="13" t="n">
        <f aca="false">IFERROR(F4/D4,0)</f>
        <v>0.187866927592955</v>
      </c>
      <c r="F6" s="12" t="s">
        <v>25</v>
      </c>
      <c r="H6" s="14" t="n">
        <f aca="false">IFERROR(D4/H4,0)</f>
        <v>255.5</v>
      </c>
    </row>
    <row r="8" customFormat="false" ht="15" hidden="false" customHeight="true" outlineLevel="0" collapsed="false">
      <c r="B8" s="15" t="s">
        <v>26</v>
      </c>
    </row>
    <row r="9" customFormat="false" ht="77.25" hidden="false" customHeight="true" outlineLevel="0" collapsed="false">
      <c r="A9" s="16" t="s">
        <v>27</v>
      </c>
      <c r="B9" s="16" t="s">
        <v>28</v>
      </c>
      <c r="C9" s="16" t="s">
        <v>29</v>
      </c>
      <c r="D9" s="16" t="s">
        <v>30</v>
      </c>
      <c r="E9" s="16" t="s">
        <v>31</v>
      </c>
      <c r="F9" s="16" t="s">
        <v>32</v>
      </c>
      <c r="G9" s="16" t="s">
        <v>33</v>
      </c>
    </row>
    <row r="10" customFormat="false" ht="15" hidden="false" customHeight="true" outlineLevel="0" collapsed="false">
      <c r="B10" s="17" t="n">
        <v>1</v>
      </c>
      <c r="C10" s="18" t="str">
        <f aca="false">IFERROR(IF(LARGE(_agg!$G$2:$G$60,1)&gt;=1,INDEX(_agg!$A$2:$A$60,MATCH(LARGE(_agg!$G$2:$G$60,1),_agg!$G$2:$G$60,0)),""),"")</f>
        <v>Genshin Impact</v>
      </c>
      <c r="D10" s="19" t="n">
        <f aca="false">IF(C10="","",IFERROR(VLOOKUP(C10,_agg!$A$2:$F$60,2,FALSE()),""))</f>
        <v>3</v>
      </c>
      <c r="E10" s="20" t="n">
        <f aca="false">IF(C10="","",IFERROR(VLOOKUP(C10,_agg!$A$2:$F$60,3,FALSE()),""))</f>
        <v>1520</v>
      </c>
      <c r="F10" s="20" t="n">
        <f aca="false">IF(C10="","",IFERROR(VLOOKUP(C10,_agg!$A$2:$F$60,4,FALSE()),""))</f>
        <v>1280</v>
      </c>
      <c r="G10" s="20" t="n">
        <f aca="false">IF(C10="","",IFERROR(VLOOKUP(C10,_agg!$A$2:$F$60,5,FALSE()),""))</f>
        <v>240</v>
      </c>
      <c r="H10" s="21" t="n">
        <f aca="false">IF(C10="","",IFERROR(VLOOKUP(C10,_agg!$A$2:$F$60,6,FALSE()),""))</f>
        <v>0.157894736842105</v>
      </c>
    </row>
    <row r="11" customFormat="false" ht="15" hidden="false" customHeight="true" outlineLevel="0" collapsed="false">
      <c r="B11" s="17" t="n">
        <v>2</v>
      </c>
      <c r="C11" s="18" t="str">
        <f aca="false">IFERROR(IF(LARGE(_agg!$G$2:$G$60,2)&gt;=1,INDEX(_agg!$A$2:$A$60,MATCH(LARGE(_agg!$G$2:$G$60,2),_agg!$G$2:$G$60,0)),""),"")</f>
        <v>Free Fire</v>
      </c>
      <c r="D11" s="19" t="n">
        <f aca="false">IF(C11="","",IFERROR(VLOOKUP(C11,_agg!$A$2:$F$60,2,FALSE()),""))</f>
        <v>3</v>
      </c>
      <c r="E11" s="20" t="n">
        <f aca="false">IF(C11="","",IFERROR(VLOOKUP(C11,_agg!$A$2:$F$60,3,FALSE()),""))</f>
        <v>290</v>
      </c>
      <c r="F11" s="20" t="n">
        <f aca="false">IF(C11="","",IFERROR(VLOOKUP(C11,_agg!$A$2:$F$60,4,FALSE()),""))</f>
        <v>215</v>
      </c>
      <c r="G11" s="20" t="n">
        <f aca="false">IF(C11="","",IFERROR(VLOOKUP(C11,_agg!$A$2:$F$60,5,FALSE()),""))</f>
        <v>75</v>
      </c>
      <c r="H11" s="21" t="n">
        <f aca="false">IF(C11="","",IFERROR(VLOOKUP(C11,_agg!$A$2:$F$60,6,FALSE()),""))</f>
        <v>0.258620689655172</v>
      </c>
    </row>
    <row r="12" customFormat="false" ht="15" hidden="false" customHeight="true" outlineLevel="0" collapsed="false">
      <c r="B12" s="17" t="n">
        <v>3</v>
      </c>
      <c r="C12" s="18" t="str">
        <f aca="false">IFERROR(IF(LARGE(_agg!$G$2:$G$60,3)&gt;=1,INDEX(_agg!$A$2:$A$60,MATCH(LARGE(_agg!$G$2:$G$60,3),_agg!$G$2:$G$60,0)),""),"")</f>
        <v>ROV</v>
      </c>
      <c r="D12" s="19" t="n">
        <f aca="false">IF(C12="","",IFERROR(VLOOKUP(C12,_agg!$A$2:$F$60,2,FALSE()),""))</f>
        <v>2</v>
      </c>
      <c r="E12" s="20" t="n">
        <f aca="false">IF(C12="","",IFERROR(VLOOKUP(C12,_agg!$A$2:$F$60,3,FALSE()),""))</f>
        <v>255</v>
      </c>
      <c r="F12" s="20" t="n">
        <f aca="false">IF(C12="","",IFERROR(VLOOKUP(C12,_agg!$A$2:$F$60,4,FALSE()),""))</f>
        <v>190</v>
      </c>
      <c r="G12" s="20" t="n">
        <f aca="false">IF(C12="","",IFERROR(VLOOKUP(C12,_agg!$A$2:$F$60,5,FALSE()),""))</f>
        <v>65</v>
      </c>
      <c r="H12" s="21" t="n">
        <f aca="false">IF(C12="","",IFERROR(VLOOKUP(C12,_agg!$A$2:$F$60,6,FALSE()),""))</f>
        <v>0.254901960784314</v>
      </c>
    </row>
    <row r="13" customFormat="false" ht="15" hidden="false" customHeight="true" outlineLevel="0" collapsed="false">
      <c r="B13" s="17" t="n">
        <v>4</v>
      </c>
      <c r="C13" s="18" t="str">
        <f aca="false">IFERROR(IF(LARGE(_agg!$G$2:$G$60,4)&gt;=1,INDEX(_agg!$A$2:$A$60,MATCH(LARGE(_agg!$G$2:$G$60,4),_agg!$G$2:$G$60,0)),""),"")</f>
        <v>PUBG Mobile</v>
      </c>
      <c r="D13" s="19" t="n">
        <f aca="false">IF(C13="","",IFERROR(VLOOKUP(C13,_agg!$A$2:$F$60,2,FALSE()),""))</f>
        <v>1</v>
      </c>
      <c r="E13" s="20" t="n">
        <f aca="false">IF(C13="","",IFERROR(VLOOKUP(C13,_agg!$A$2:$F$60,3,FALSE()),""))</f>
        <v>260</v>
      </c>
      <c r="F13" s="20" t="n">
        <f aca="false">IF(C13="","",IFERROR(VLOOKUP(C13,_agg!$A$2:$F$60,4,FALSE()),""))</f>
        <v>210</v>
      </c>
      <c r="G13" s="20" t="n">
        <f aca="false">IF(C13="","",IFERROR(VLOOKUP(C13,_agg!$A$2:$F$60,5,FALSE()),""))</f>
        <v>50</v>
      </c>
      <c r="H13" s="21" t="n">
        <f aca="false">IF(C13="","",IFERROR(VLOOKUP(C13,_agg!$A$2:$F$60,6,FALSE()),""))</f>
        <v>0.192307692307692</v>
      </c>
    </row>
    <row r="14" customFormat="false" ht="15" hidden="false" customHeight="true" outlineLevel="0" collapsed="false">
      <c r="B14" s="17" t="n">
        <v>5</v>
      </c>
      <c r="C14" s="18" t="str">
        <f aca="false">IFERROR(IF(LARGE(_agg!$G$2:$G$60,5)&gt;=1,INDEX(_agg!$A$2:$A$60,MATCH(LARGE(_agg!$G$2:$G$60,5),_agg!$G$2:$G$60,0)),""),"")</f>
        <v>Mobile Legends</v>
      </c>
      <c r="D14" s="19" t="n">
        <f aca="false">IF(C14="","",IFERROR(VLOOKUP(C14,_agg!$A$2:$F$60,2,FALSE()),""))</f>
        <v>1</v>
      </c>
      <c r="E14" s="20" t="n">
        <f aca="false">IF(C14="","",IFERROR(VLOOKUP(C14,_agg!$A$2:$F$60,3,FALSE()),""))</f>
        <v>230</v>
      </c>
      <c r="F14" s="20" t="n">
        <f aca="false">IF(C14="","",IFERROR(VLOOKUP(C14,_agg!$A$2:$F$60,4,FALSE()),""))</f>
        <v>180</v>
      </c>
      <c r="G14" s="20" t="n">
        <f aca="false">IF(C14="","",IFERROR(VLOOKUP(C14,_agg!$A$2:$F$60,5,FALSE()),""))</f>
        <v>50</v>
      </c>
      <c r="H14" s="21" t="n">
        <f aca="false">IF(C14="","",IFERROR(VLOOKUP(C14,_agg!$A$2:$F$60,6,FALSE()),""))</f>
        <v>0.217391304347826</v>
      </c>
    </row>
    <row r="15" customFormat="false" ht="15" hidden="false" customHeight="true" outlineLevel="0" collapsed="false">
      <c r="B15" s="17" t="n">
        <v>6</v>
      </c>
      <c r="C15" s="18" t="str">
        <f aca="false">IFERROR(IF(LARGE(_agg!$G$2:$G$60,6)&gt;=1,INDEX(_agg!$A$2:$A$60,MATCH(LARGE(_agg!$G$2:$G$60,6),_agg!$G$2:$G$60,0)),""),"")</f>
        <v/>
      </c>
      <c r="D15" s="19" t="str">
        <f aca="false">IF(C15="","",IFERROR(VLOOKUP(C15,_agg!$A$2:$F$60,2,FALSE()),""))</f>
        <v/>
      </c>
      <c r="E15" s="20" t="str">
        <f aca="false">IF(C15="","",IFERROR(VLOOKUP(C15,_agg!$A$2:$F$60,3,FALSE()),""))</f>
        <v/>
      </c>
      <c r="F15" s="20" t="str">
        <f aca="false">IF(C15="","",IFERROR(VLOOKUP(C15,_agg!$A$2:$F$60,4,FALSE()),""))</f>
        <v/>
      </c>
      <c r="G15" s="20" t="str">
        <f aca="false">IF(C15="","",IFERROR(VLOOKUP(C15,_agg!$A$2:$F$60,5,FALSE()),""))</f>
        <v/>
      </c>
      <c r="H15" s="21" t="str">
        <f aca="false">IF(C15="","",IFERROR(VLOOKUP(C15,_agg!$A$2:$F$60,6,FALSE()),""))</f>
        <v/>
      </c>
    </row>
    <row r="16" customFormat="false" ht="15" hidden="false" customHeight="true" outlineLevel="0" collapsed="false">
      <c r="B16" s="17" t="n">
        <v>7</v>
      </c>
      <c r="C16" s="18" t="str">
        <f aca="false">IFERROR(IF(LARGE(_agg!$G$2:$G$60,7)&gt;=1,INDEX(_agg!$A$2:$A$60,MATCH(LARGE(_agg!$G$2:$G$60,7),_agg!$G$2:$G$60,0)),""),"")</f>
        <v/>
      </c>
      <c r="D16" s="19" t="str">
        <f aca="false">IF(C16="","",IFERROR(VLOOKUP(C16,_agg!$A$2:$F$60,2,FALSE()),""))</f>
        <v/>
      </c>
      <c r="E16" s="20" t="str">
        <f aca="false">IF(C16="","",IFERROR(VLOOKUP(C16,_agg!$A$2:$F$60,3,FALSE()),""))</f>
        <v/>
      </c>
      <c r="F16" s="20" t="str">
        <f aca="false">IF(C16="","",IFERROR(VLOOKUP(C16,_agg!$A$2:$F$60,4,FALSE()),""))</f>
        <v/>
      </c>
      <c r="G16" s="20" t="str">
        <f aca="false">IF(C16="","",IFERROR(VLOOKUP(C16,_agg!$A$2:$F$60,5,FALSE()),""))</f>
        <v/>
      </c>
      <c r="H16" s="21" t="str">
        <f aca="false">IF(C16="","",IFERROR(VLOOKUP(C16,_agg!$A$2:$F$60,6,FALSE()),""))</f>
        <v/>
      </c>
    </row>
    <row r="17" customFormat="false" ht="15" hidden="false" customHeight="true" outlineLevel="0" collapsed="false">
      <c r="B17" s="17" t="n">
        <v>8</v>
      </c>
      <c r="C17" s="18" t="str">
        <f aca="false">IFERROR(IF(LARGE(_agg!$G$2:$G$60,8)&gt;=1,INDEX(_agg!$A$2:$A$60,MATCH(LARGE(_agg!$G$2:$G$60,8),_agg!$G$2:$G$60,0)),""),"")</f>
        <v/>
      </c>
      <c r="D17" s="19" t="str">
        <f aca="false">IF(C17="","",IFERROR(VLOOKUP(C17,_agg!$A$2:$F$60,2,FALSE()),""))</f>
        <v/>
      </c>
      <c r="E17" s="20" t="str">
        <f aca="false">IF(C17="","",IFERROR(VLOOKUP(C17,_agg!$A$2:$F$60,3,FALSE()),""))</f>
        <v/>
      </c>
      <c r="F17" s="20" t="str">
        <f aca="false">IF(C17="","",IFERROR(VLOOKUP(C17,_agg!$A$2:$F$60,4,FALSE()),""))</f>
        <v/>
      </c>
      <c r="G17" s="20" t="str">
        <f aca="false">IF(C17="","",IFERROR(VLOOKUP(C17,_agg!$A$2:$F$60,5,FALSE()),""))</f>
        <v/>
      </c>
      <c r="H17" s="21" t="str">
        <f aca="false">IF(C17="","",IFERROR(VLOOKUP(C17,_agg!$A$2:$F$60,6,FALSE()),""))</f>
        <v/>
      </c>
    </row>
    <row r="18" customFormat="false" ht="15" hidden="false" customHeight="true" outlineLevel="0" collapsed="false">
      <c r="B18" s="17" t="n">
        <v>9</v>
      </c>
      <c r="C18" s="18" t="str">
        <f aca="false">IFERROR(IF(LARGE(_agg!$G$2:$G$60,9)&gt;=1,INDEX(_agg!$A$2:$A$60,MATCH(LARGE(_agg!$G$2:$G$60,9),_agg!$G$2:$G$60,0)),""),"")</f>
        <v/>
      </c>
      <c r="D18" s="19" t="str">
        <f aca="false">IF(C18="","",IFERROR(VLOOKUP(C18,_agg!$A$2:$F$60,2,FALSE()),""))</f>
        <v/>
      </c>
      <c r="E18" s="20" t="str">
        <f aca="false">IF(C18="","",IFERROR(VLOOKUP(C18,_agg!$A$2:$F$60,3,FALSE()),""))</f>
        <v/>
      </c>
      <c r="F18" s="20" t="str">
        <f aca="false">IF(C18="","",IFERROR(VLOOKUP(C18,_agg!$A$2:$F$60,4,FALSE()),""))</f>
        <v/>
      </c>
      <c r="G18" s="20" t="str">
        <f aca="false">IF(C18="","",IFERROR(VLOOKUP(C18,_agg!$A$2:$F$60,5,FALSE()),""))</f>
        <v/>
      </c>
      <c r="H18" s="21" t="str">
        <f aca="false">IF(C18="","",IFERROR(VLOOKUP(C18,_agg!$A$2:$F$60,6,FALSE()),""))</f>
        <v/>
      </c>
    </row>
    <row r="19" customFormat="false" ht="15" hidden="false" customHeight="true" outlineLevel="0" collapsed="false">
      <c r="B19" s="17" t="n">
        <v>10</v>
      </c>
      <c r="C19" s="18" t="str">
        <f aca="false">IFERROR(IF(LARGE(_agg!$G$2:$G$60,10)&gt;=1,INDEX(_agg!$A$2:$A$60,MATCH(LARGE(_agg!$G$2:$G$60,10),_agg!$G$2:$G$60,0)),""),"")</f>
        <v/>
      </c>
      <c r="D19" s="19" t="str">
        <f aca="false">IF(C19="","",IFERROR(VLOOKUP(C19,_agg!$A$2:$F$60,2,FALSE()),""))</f>
        <v/>
      </c>
      <c r="E19" s="20" t="str">
        <f aca="false">IF(C19="","",IFERROR(VLOOKUP(C19,_agg!$A$2:$F$60,3,FALSE()),""))</f>
        <v/>
      </c>
      <c r="F19" s="20" t="str">
        <f aca="false">IF(C19="","",IFERROR(VLOOKUP(C19,_agg!$A$2:$F$60,4,FALSE()),""))</f>
        <v/>
      </c>
      <c r="G19" s="20" t="str">
        <f aca="false">IF(C19="","",IFERROR(VLOOKUP(C19,_agg!$A$2:$F$60,5,FALSE()),""))</f>
        <v/>
      </c>
      <c r="H19" s="21" t="str">
        <f aca="false">IF(C19="","",IFERROR(VLOOKUP(C19,_agg!$A$2:$F$60,6,FALSE()),""))</f>
        <v/>
      </c>
    </row>
    <row r="22" customFormat="false" ht="15" hidden="false" customHeight="true" outlineLevel="0" collapsed="false">
      <c r="B22" s="15" t="s">
        <v>34</v>
      </c>
    </row>
    <row r="23" customFormat="false" ht="64.5" hidden="false" customHeight="true" outlineLevel="0" collapsed="false">
      <c r="A23" s="16" t="s">
        <v>35</v>
      </c>
      <c r="B23" s="16" t="s">
        <v>36</v>
      </c>
      <c r="C23" s="16" t="s">
        <v>37</v>
      </c>
      <c r="D23" s="16" t="s">
        <v>38</v>
      </c>
    </row>
    <row r="24" customFormat="false" ht="15" hidden="false" customHeight="true" outlineLevel="0" collapsed="false">
      <c r="B24" s="22" t="s">
        <v>39</v>
      </c>
      <c r="C24" s="23" t="n">
        <f aca="false">SUM('สต๊อก-iTunes'!C4:C200)</f>
        <v>99.8</v>
      </c>
      <c r="D24" s="24" t="n">
        <f aca="false">SUM('สต๊อก-iTunes'!D4:D200)</f>
        <v>8280</v>
      </c>
      <c r="E24" s="25" t="n">
        <f aca="false">IFERROR(D24/C24,0)</f>
        <v>82.9659318637275</v>
      </c>
    </row>
    <row r="25" customFormat="false" ht="15" hidden="false" customHeight="true" outlineLevel="0" collapsed="false">
      <c r="B25" s="22" t="s">
        <v>40</v>
      </c>
      <c r="C25" s="23" t="n">
        <f aca="false">SUM('สต๊อก-Razer'!C4:C200)</f>
        <v>68.3</v>
      </c>
      <c r="D25" s="24" t="n">
        <f aca="false">SUM('สต๊อก-Razer'!D4:D200)</f>
        <v>5105</v>
      </c>
      <c r="E25" s="25" t="n">
        <f aca="false">IFERROR(D25/C25,0)</f>
        <v>74.7437774524158</v>
      </c>
    </row>
    <row r="26" customFormat="false" ht="15" hidden="false" customHeight="true" outlineLevel="0" collapsed="false">
      <c r="B26" s="22" t="s">
        <v>41</v>
      </c>
      <c r="C26" s="23" t="n">
        <f aca="false">SUM('สต๊อก-Mycard'!C4:C200)</f>
        <v>0</v>
      </c>
      <c r="D26" s="24" t="n">
        <f aca="false">SUM('สต๊อก-Mycard'!D4:D200)</f>
        <v>0</v>
      </c>
      <c r="E26" s="25" t="n">
        <f aca="false">IFERROR(D26/C26,0)</f>
        <v>0</v>
      </c>
    </row>
    <row r="27" customFormat="false" ht="15" hidden="false" customHeight="true" outlineLevel="0" collapsed="false">
      <c r="B27" s="22" t="s">
        <v>42</v>
      </c>
      <c r="C27" s="23" t="n">
        <f aca="false">SUM('สต๊อก-USDT-PHP'!C4:C200)</f>
        <v>36.82</v>
      </c>
      <c r="D27" s="24" t="n">
        <f aca="false">SUM('สต๊อก-USDT-PHP'!D4:D200)</f>
        <v>3744</v>
      </c>
      <c r="E27" s="25" t="n">
        <f aca="false">IFERROR(D27/C27,0)</f>
        <v>101.683867463335</v>
      </c>
    </row>
    <row r="30" customFormat="false" ht="15" hidden="false" customHeight="true" outlineLevel="0" collapsed="false">
      <c r="B30" s="15" t="s">
        <v>43</v>
      </c>
    </row>
    <row r="31" customFormat="false" ht="77.25" hidden="false" customHeight="true" outlineLevel="0" collapsed="false">
      <c r="A31" s="16" t="s">
        <v>44</v>
      </c>
      <c r="B31" s="16" t="s">
        <v>23</v>
      </c>
      <c r="C31" s="16" t="s">
        <v>37</v>
      </c>
      <c r="D31" s="16" t="s">
        <v>45</v>
      </c>
    </row>
    <row r="32" customFormat="false" ht="15" hidden="false" customHeight="true" outlineLevel="0" collapsed="false">
      <c r="B32" s="22" t="s">
        <v>46</v>
      </c>
      <c r="C32" s="26" t="n">
        <f aca="false">COUNTIF(Supply!B4:B200,"จอนชาวไร่")</f>
        <v>1</v>
      </c>
      <c r="D32" s="24" t="n">
        <f aca="false">SUMIF(Supply!B4:B200,"จอนชาวไร่",Supply!E4:E200)</f>
        <v>3280</v>
      </c>
      <c r="E32" s="26" t="n">
        <f aca="false">COUNTIFS(Supply!B4:B200,"จอนชาวไร่",Supply!F4:F200,"&lt;&gt;ได้รับแล้ว",Supply!F4:F200,"&lt;&gt;")</f>
        <v>0</v>
      </c>
    </row>
    <row r="33" customFormat="false" ht="15" hidden="false" customHeight="true" outlineLevel="0" collapsed="false">
      <c r="B33" s="22" t="s">
        <v>47</v>
      </c>
      <c r="C33" s="26" t="n">
        <f aca="false">COUNTIF(Supply!B4:B200,"Kingpro")</f>
        <v>2</v>
      </c>
      <c r="D33" s="24" t="n">
        <f aca="false">SUMIF(Supply!B4:B200,"Kingpro",Supply!E4:E200)</f>
        <v>5025</v>
      </c>
      <c r="E33" s="26" t="n">
        <f aca="false">COUNTIFS(Supply!B4:B200,"Kingpro",Supply!F4:F200,"&lt;&gt;ได้รับแล้ว",Supply!F4:F200,"&lt;&gt;")</f>
        <v>0</v>
      </c>
    </row>
    <row r="34" customFormat="false" ht="15" hidden="false" customHeight="true" outlineLevel="0" collapsed="false">
      <c r="B34" s="22" t="s">
        <v>48</v>
      </c>
      <c r="C34" s="26" t="n">
        <f aca="false">COUNTIF(Supply!B4:B200,"Over")</f>
        <v>2</v>
      </c>
      <c r="D34" s="24" t="n">
        <f aca="false">SUMIF(Supply!B4:B200,"Over",Supply!E4:E200)</f>
        <v>7000</v>
      </c>
      <c r="E34" s="26" t="n">
        <f aca="false">COUNTIFS(Supply!B4:B200,"Over",Supply!F4:F200,"&lt;&gt;ได้รับแล้ว",Supply!F4:F200,"&lt;&gt;")</f>
        <v>1</v>
      </c>
    </row>
    <row r="35" customFormat="false" ht="15" hidden="false" customHeight="true" outlineLevel="0" collapsed="false">
      <c r="B35" s="22" t="s">
        <v>49</v>
      </c>
      <c r="C35" s="26" t="n">
        <f aca="false">COUNTIF(Supply!B4:B200,"24BuyM")</f>
        <v>2</v>
      </c>
      <c r="D35" s="24" t="n">
        <f aca="false">SUMIF(Supply!B4:B200,"24BuyM",Supply!E4:E200)</f>
        <v>1824</v>
      </c>
      <c r="E35" s="26" t="n">
        <f aca="false">COUNTIFS(Supply!B4:B200,"24BuyM",Supply!F4:F200,"&lt;&gt;ได้รับแล้ว",Supply!F4:F200,"&lt;&gt;")</f>
        <v>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9" min="5" style="1" width="14"/>
    <col collapsed="false" customWidth="true" hidden="false" outlineLevel="0" max="10" min="10" style="1" width="12"/>
    <col collapsed="false" customWidth="true" hidden="false" outlineLevel="0" max="11" min="11" style="1" width="30"/>
  </cols>
  <sheetData>
    <row r="1" customFormat="false" ht="25.5" hidden="false" customHeight="true" outlineLevel="0" collapsed="false">
      <c r="A1" s="6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customFormat="false" ht="30" hidden="false" customHeight="true" outlineLevel="0" collapsed="false">
      <c r="A3" s="16" t="s">
        <v>51</v>
      </c>
      <c r="B3" s="16" t="s">
        <v>52</v>
      </c>
      <c r="C3" s="16" t="s">
        <v>44</v>
      </c>
      <c r="D3" s="16" t="s">
        <v>28</v>
      </c>
      <c r="E3" s="16" t="s">
        <v>53</v>
      </c>
      <c r="F3" s="16" t="s">
        <v>35</v>
      </c>
      <c r="G3" s="16" t="s">
        <v>54</v>
      </c>
      <c r="H3" s="16" t="s">
        <v>55</v>
      </c>
      <c r="I3" s="16" t="s">
        <v>56</v>
      </c>
      <c r="J3" s="16" t="s">
        <v>33</v>
      </c>
      <c r="K3" s="16" t="s">
        <v>57</v>
      </c>
    </row>
    <row r="4" customFormat="false" ht="15" hidden="false" customHeight="true" outlineLevel="0" collapsed="false">
      <c r="A4" s="27" t="s">
        <v>58</v>
      </c>
      <c r="B4" s="28" t="s">
        <v>59</v>
      </c>
      <c r="C4" s="28" t="s">
        <v>60</v>
      </c>
      <c r="D4" s="28" t="s">
        <v>61</v>
      </c>
      <c r="E4" s="28" t="s">
        <v>62</v>
      </c>
      <c r="F4" s="28" t="s">
        <v>39</v>
      </c>
      <c r="G4" s="29" t="n">
        <v>85</v>
      </c>
      <c r="H4" s="29" t="n">
        <v>110</v>
      </c>
      <c r="I4" s="20" t="n">
        <f aca="false">IFERROR(H4-G4,0)</f>
        <v>25</v>
      </c>
      <c r="J4" s="21" t="n">
        <f aca="false">IFERROR((H4-G4)/H4,0)</f>
        <v>0.227272727272727</v>
      </c>
      <c r="K4" s="28" t="s">
        <v>63</v>
      </c>
    </row>
    <row r="5" customFormat="false" ht="15" hidden="false" customHeight="true" outlineLevel="0" collapsed="false">
      <c r="A5" s="27" t="s">
        <v>64</v>
      </c>
      <c r="B5" s="28" t="s">
        <v>65</v>
      </c>
      <c r="C5" s="28" t="s">
        <v>60</v>
      </c>
      <c r="D5" s="28" t="s">
        <v>66</v>
      </c>
      <c r="E5" s="28" t="s">
        <v>67</v>
      </c>
      <c r="F5" s="28" t="s">
        <v>40</v>
      </c>
      <c r="G5" s="29" t="n">
        <v>95</v>
      </c>
      <c r="H5" s="29" t="n">
        <v>130</v>
      </c>
      <c r="I5" s="20" t="n">
        <f aca="false">IFERROR(H5-G5,0)</f>
        <v>35</v>
      </c>
      <c r="J5" s="21" t="n">
        <f aca="false">IFERROR((H5-G5)/H5,0)</f>
        <v>0.269230769230769</v>
      </c>
      <c r="K5" s="28" t="s">
        <v>68</v>
      </c>
    </row>
    <row r="6" customFormat="false" ht="15" hidden="false" customHeight="true" outlineLevel="0" collapsed="false">
      <c r="A6" s="27" t="s">
        <v>64</v>
      </c>
      <c r="B6" s="28" t="s">
        <v>69</v>
      </c>
      <c r="C6" s="28" t="s">
        <v>60</v>
      </c>
      <c r="D6" s="28" t="s">
        <v>70</v>
      </c>
      <c r="E6" s="28" t="s">
        <v>71</v>
      </c>
      <c r="F6" s="28" t="s">
        <v>42</v>
      </c>
      <c r="G6" s="29" t="n">
        <v>320</v>
      </c>
      <c r="H6" s="29" t="n">
        <v>380</v>
      </c>
      <c r="I6" s="20" t="n">
        <f aca="false">IFERROR(H6-G6,0)</f>
        <v>60</v>
      </c>
      <c r="J6" s="21" t="n">
        <f aca="false">IFERROR((H6-G6)/H6,0)</f>
        <v>0.157894736842105</v>
      </c>
      <c r="K6" s="28" t="s">
        <v>72</v>
      </c>
    </row>
    <row r="7" customFormat="false" ht="15" hidden="false" customHeight="true" outlineLevel="0" collapsed="false">
      <c r="A7" s="27" t="s">
        <v>73</v>
      </c>
      <c r="B7" s="28" t="s">
        <v>74</v>
      </c>
      <c r="C7" s="28" t="s">
        <v>60</v>
      </c>
      <c r="D7" s="28" t="s">
        <v>75</v>
      </c>
      <c r="E7" s="28" t="s">
        <v>76</v>
      </c>
      <c r="F7" s="28" t="s">
        <v>40</v>
      </c>
      <c r="G7" s="29" t="n">
        <v>180</v>
      </c>
      <c r="H7" s="29" t="n">
        <v>230</v>
      </c>
      <c r="I7" s="20" t="n">
        <f aca="false">IFERROR(H7-G7,0)</f>
        <v>50</v>
      </c>
      <c r="J7" s="21" t="n">
        <f aca="false">IFERROR((H7-G7)/H7,0)</f>
        <v>0.217391304347826</v>
      </c>
      <c r="K7" s="28"/>
    </row>
    <row r="8" customFormat="false" ht="15" hidden="false" customHeight="true" outlineLevel="0" collapsed="false">
      <c r="A8" s="27" t="s">
        <v>73</v>
      </c>
      <c r="B8" s="28" t="s">
        <v>59</v>
      </c>
      <c r="C8" s="28" t="s">
        <v>60</v>
      </c>
      <c r="D8" s="28" t="s">
        <v>61</v>
      </c>
      <c r="E8" s="28" t="s">
        <v>62</v>
      </c>
      <c r="F8" s="28" t="s">
        <v>39</v>
      </c>
      <c r="G8" s="29" t="n">
        <v>85</v>
      </c>
      <c r="H8" s="29" t="n">
        <v>110</v>
      </c>
      <c r="I8" s="20" t="n">
        <f aca="false">IFERROR(H8-G8,0)</f>
        <v>25</v>
      </c>
      <c r="J8" s="21" t="n">
        <f aca="false">IFERROR((H8-G8)/H8,0)</f>
        <v>0.227272727272727</v>
      </c>
      <c r="K8" s="28"/>
    </row>
    <row r="9" customFormat="false" ht="15" hidden="false" customHeight="true" outlineLevel="0" collapsed="false">
      <c r="A9" s="27" t="s">
        <v>77</v>
      </c>
      <c r="B9" s="28" t="s">
        <v>78</v>
      </c>
      <c r="C9" s="28" t="s">
        <v>60</v>
      </c>
      <c r="D9" s="28" t="s">
        <v>79</v>
      </c>
      <c r="E9" s="28" t="s">
        <v>80</v>
      </c>
      <c r="F9" s="28" t="s">
        <v>41</v>
      </c>
      <c r="G9" s="29" t="n">
        <v>210</v>
      </c>
      <c r="H9" s="29" t="n">
        <v>260</v>
      </c>
      <c r="I9" s="20" t="n">
        <f aca="false">IFERROR(H9-G9,0)</f>
        <v>50</v>
      </c>
      <c r="J9" s="21" t="n">
        <f aca="false">IFERROR((H9-G9)/H9,0)</f>
        <v>0.192307692307692</v>
      </c>
      <c r="K9" s="28" t="s">
        <v>81</v>
      </c>
    </row>
    <row r="10" customFormat="false" ht="15" hidden="false" customHeight="true" outlineLevel="0" collapsed="false">
      <c r="A10" s="27" t="s">
        <v>77</v>
      </c>
      <c r="B10" s="28" t="s">
        <v>82</v>
      </c>
      <c r="C10" s="28" t="s">
        <v>60</v>
      </c>
      <c r="D10" s="28" t="s">
        <v>70</v>
      </c>
      <c r="E10" s="28" t="s">
        <v>71</v>
      </c>
      <c r="F10" s="28" t="s">
        <v>42</v>
      </c>
      <c r="G10" s="29" t="n">
        <v>640</v>
      </c>
      <c r="H10" s="29" t="n">
        <v>760</v>
      </c>
      <c r="I10" s="20" t="n">
        <f aca="false">IFERROR(H10-G10,0)</f>
        <v>120</v>
      </c>
      <c r="J10" s="21" t="n">
        <f aca="false">IFERROR((H10-G10)/H10,0)</f>
        <v>0.157894736842105</v>
      </c>
      <c r="K10" s="28"/>
    </row>
    <row r="11" customFormat="false" ht="15" hidden="false" customHeight="true" outlineLevel="0" collapsed="false">
      <c r="A11" s="27" t="s">
        <v>83</v>
      </c>
      <c r="B11" s="28" t="s">
        <v>84</v>
      </c>
      <c r="C11" s="28" t="s">
        <v>60</v>
      </c>
      <c r="D11" s="28" t="s">
        <v>66</v>
      </c>
      <c r="E11" s="28" t="s">
        <v>62</v>
      </c>
      <c r="F11" s="28" t="s">
        <v>40</v>
      </c>
      <c r="G11" s="29" t="n">
        <v>95</v>
      </c>
      <c r="H11" s="29" t="n">
        <v>125</v>
      </c>
      <c r="I11" s="20" t="n">
        <f aca="false">IFERROR(H11-G11,0)</f>
        <v>30</v>
      </c>
      <c r="J11" s="21" t="n">
        <f aca="false">IFERROR((H11-G11)/H11,0)</f>
        <v>0.24</v>
      </c>
      <c r="K11" s="28"/>
    </row>
    <row r="12" customFormat="false" ht="15" hidden="false" customHeight="true" outlineLevel="0" collapsed="false">
      <c r="A12" s="27" t="s">
        <v>83</v>
      </c>
      <c r="B12" s="28" t="s">
        <v>85</v>
      </c>
      <c r="C12" s="28" t="s">
        <v>60</v>
      </c>
      <c r="D12" s="28" t="s">
        <v>61</v>
      </c>
      <c r="E12" s="28" t="s">
        <v>86</v>
      </c>
      <c r="F12" s="28" t="s">
        <v>39</v>
      </c>
      <c r="G12" s="29" t="n">
        <v>45</v>
      </c>
      <c r="H12" s="29" t="n">
        <v>70</v>
      </c>
      <c r="I12" s="20" t="n">
        <f aca="false">IFERROR(H12-G12,0)</f>
        <v>25</v>
      </c>
      <c r="J12" s="21" t="n">
        <f aca="false">IFERROR((H12-G12)/H12,0)</f>
        <v>0.357142857142857</v>
      </c>
      <c r="K12" s="28"/>
    </row>
    <row r="13" customFormat="false" ht="15" hidden="false" customHeight="true" outlineLevel="0" collapsed="false">
      <c r="A13" s="27" t="s">
        <v>87</v>
      </c>
      <c r="B13" s="28" t="s">
        <v>59</v>
      </c>
      <c r="C13" s="28" t="s">
        <v>60</v>
      </c>
      <c r="D13" s="28" t="s">
        <v>70</v>
      </c>
      <c r="E13" s="28" t="s">
        <v>71</v>
      </c>
      <c r="F13" s="28" t="s">
        <v>42</v>
      </c>
      <c r="G13" s="29" t="n">
        <v>320</v>
      </c>
      <c r="H13" s="29" t="n">
        <v>380</v>
      </c>
      <c r="I13" s="20" t="n">
        <f aca="false">IFERROR(H13-G13,0)</f>
        <v>60</v>
      </c>
      <c r="J13" s="21" t="n">
        <f aca="false">IFERROR((H13-G13)/H13,0)</f>
        <v>0.157894736842105</v>
      </c>
      <c r="K13" s="28" t="s">
        <v>88</v>
      </c>
    </row>
    <row r="14" customFormat="false" ht="15" hidden="false" customHeight="true" outlineLevel="0" collapsed="false">
      <c r="A14" s="27"/>
      <c r="B14" s="28"/>
      <c r="C14" s="28"/>
      <c r="D14" s="28"/>
      <c r="E14" s="28"/>
      <c r="F14" s="28"/>
      <c r="G14" s="29"/>
      <c r="H14" s="29"/>
      <c r="I14" s="20" t="n">
        <f aca="false">IFERROR(H14-G14,0)</f>
        <v>0</v>
      </c>
      <c r="J14" s="21" t="n">
        <f aca="false">IFERROR((H14-G14)/H14,0)</f>
        <v>0</v>
      </c>
      <c r="K14" s="28"/>
    </row>
    <row r="15" customFormat="false" ht="15" hidden="false" customHeight="true" outlineLevel="0" collapsed="false">
      <c r="A15" s="27"/>
      <c r="B15" s="28"/>
      <c r="C15" s="28"/>
      <c r="D15" s="28"/>
      <c r="E15" s="28"/>
      <c r="F15" s="28"/>
      <c r="G15" s="29"/>
      <c r="H15" s="29"/>
      <c r="I15" s="20" t="n">
        <f aca="false">IFERROR(H15-G15,0)</f>
        <v>0</v>
      </c>
      <c r="J15" s="21" t="n">
        <f aca="false">IFERROR((H15-G15)/H15,0)</f>
        <v>0</v>
      </c>
      <c r="K15" s="28"/>
    </row>
    <row r="16" customFormat="false" ht="15" hidden="false" customHeight="true" outlineLevel="0" collapsed="false">
      <c r="A16" s="27"/>
      <c r="B16" s="28"/>
      <c r="C16" s="28"/>
      <c r="D16" s="28"/>
      <c r="E16" s="28"/>
      <c r="F16" s="28"/>
      <c r="G16" s="29"/>
      <c r="H16" s="29"/>
      <c r="I16" s="20" t="n">
        <f aca="false">IFERROR(H16-G16,0)</f>
        <v>0</v>
      </c>
      <c r="J16" s="21" t="n">
        <f aca="false">IFERROR((H16-G16)/H16,0)</f>
        <v>0</v>
      </c>
      <c r="K16" s="28"/>
    </row>
    <row r="17" customFormat="false" ht="15" hidden="false" customHeight="true" outlineLevel="0" collapsed="false">
      <c r="A17" s="27"/>
      <c r="B17" s="28"/>
      <c r="C17" s="28"/>
      <c r="D17" s="28"/>
      <c r="E17" s="28"/>
      <c r="F17" s="28"/>
      <c r="G17" s="29"/>
      <c r="H17" s="29"/>
      <c r="I17" s="20" t="n">
        <f aca="false">IFERROR(H17-G17,0)</f>
        <v>0</v>
      </c>
      <c r="J17" s="21" t="n">
        <f aca="false">IFERROR((H17-G17)/H17,0)</f>
        <v>0</v>
      </c>
      <c r="K17" s="28"/>
    </row>
    <row r="18" customFormat="false" ht="15" hidden="false" customHeight="true" outlineLevel="0" collapsed="false">
      <c r="A18" s="27"/>
      <c r="B18" s="28"/>
      <c r="C18" s="28"/>
      <c r="D18" s="28"/>
      <c r="E18" s="28"/>
      <c r="F18" s="28"/>
      <c r="G18" s="29"/>
      <c r="H18" s="29"/>
      <c r="I18" s="20" t="n">
        <f aca="false">IFERROR(H18-G18,0)</f>
        <v>0</v>
      </c>
      <c r="J18" s="21" t="n">
        <f aca="false">IFERROR((H18-G18)/H18,0)</f>
        <v>0</v>
      </c>
      <c r="K18" s="28"/>
    </row>
    <row r="19" customFormat="false" ht="15" hidden="false" customHeight="true" outlineLevel="0" collapsed="false">
      <c r="A19" s="27"/>
      <c r="B19" s="28"/>
      <c r="C19" s="28"/>
      <c r="D19" s="28"/>
      <c r="E19" s="28"/>
      <c r="F19" s="28"/>
      <c r="G19" s="29"/>
      <c r="H19" s="29"/>
      <c r="I19" s="20" t="n">
        <f aca="false">IFERROR(H19-G19,0)</f>
        <v>0</v>
      </c>
      <c r="J19" s="21" t="n">
        <f aca="false">IFERROR((H19-G19)/H19,0)</f>
        <v>0</v>
      </c>
      <c r="K19" s="28"/>
    </row>
    <row r="20" customFormat="false" ht="15" hidden="false" customHeight="true" outlineLevel="0" collapsed="false">
      <c r="A20" s="27"/>
      <c r="B20" s="28"/>
      <c r="C20" s="28"/>
      <c r="D20" s="28"/>
      <c r="E20" s="28"/>
      <c r="F20" s="28"/>
      <c r="G20" s="29"/>
      <c r="H20" s="29"/>
      <c r="I20" s="20" t="n">
        <f aca="false">IFERROR(H20-G20,0)</f>
        <v>0</v>
      </c>
      <c r="J20" s="21" t="n">
        <f aca="false">IFERROR((H20-G20)/H20,0)</f>
        <v>0</v>
      </c>
      <c r="K20" s="28"/>
    </row>
    <row r="21" customFormat="false" ht="15" hidden="false" customHeight="true" outlineLevel="0" collapsed="false">
      <c r="A21" s="27"/>
      <c r="B21" s="28"/>
      <c r="C21" s="28"/>
      <c r="D21" s="28"/>
      <c r="E21" s="28"/>
      <c r="F21" s="28"/>
      <c r="G21" s="29"/>
      <c r="H21" s="29"/>
      <c r="I21" s="20" t="n">
        <f aca="false">IFERROR(H21-G21,0)</f>
        <v>0</v>
      </c>
      <c r="J21" s="21" t="n">
        <f aca="false">IFERROR((H21-G21)/H21,0)</f>
        <v>0</v>
      </c>
      <c r="K21" s="28"/>
    </row>
    <row r="22" customFormat="false" ht="15" hidden="false" customHeight="true" outlineLevel="0" collapsed="false">
      <c r="A22" s="27"/>
      <c r="B22" s="28"/>
      <c r="C22" s="28"/>
      <c r="D22" s="28"/>
      <c r="E22" s="28"/>
      <c r="F22" s="28"/>
      <c r="G22" s="29"/>
      <c r="H22" s="29"/>
      <c r="I22" s="20" t="n">
        <f aca="false">IFERROR(H22-G22,0)</f>
        <v>0</v>
      </c>
      <c r="J22" s="21" t="n">
        <f aca="false">IFERROR((H22-G22)/H22,0)</f>
        <v>0</v>
      </c>
      <c r="K22" s="28"/>
    </row>
    <row r="23" customFormat="false" ht="15" hidden="false" customHeight="true" outlineLevel="0" collapsed="false">
      <c r="A23" s="27"/>
      <c r="B23" s="28"/>
      <c r="C23" s="28"/>
      <c r="D23" s="28"/>
      <c r="E23" s="28"/>
      <c r="F23" s="28"/>
      <c r="G23" s="29"/>
      <c r="H23" s="29"/>
      <c r="I23" s="20" t="n">
        <f aca="false">IFERROR(H23-G23,0)</f>
        <v>0</v>
      </c>
      <c r="J23" s="21" t="n">
        <f aca="false">IFERROR((H23-G23)/H23,0)</f>
        <v>0</v>
      </c>
      <c r="K23" s="28"/>
    </row>
    <row r="24" customFormat="false" ht="15" hidden="false" customHeight="true" outlineLevel="0" collapsed="false">
      <c r="A24" s="27"/>
      <c r="B24" s="28"/>
      <c r="C24" s="28"/>
      <c r="D24" s="28"/>
      <c r="E24" s="28"/>
      <c r="F24" s="28"/>
      <c r="G24" s="29"/>
      <c r="H24" s="29"/>
      <c r="I24" s="20" t="n">
        <f aca="false">IFERROR(H24-G24,0)</f>
        <v>0</v>
      </c>
      <c r="J24" s="21" t="n">
        <f aca="false">IFERROR((H24-G24)/H24,0)</f>
        <v>0</v>
      </c>
      <c r="K24" s="28"/>
    </row>
    <row r="25" customFormat="false" ht="15" hidden="false" customHeight="true" outlineLevel="0" collapsed="false">
      <c r="A25" s="27"/>
      <c r="B25" s="28"/>
      <c r="C25" s="28"/>
      <c r="D25" s="28"/>
      <c r="E25" s="28"/>
      <c r="F25" s="28"/>
      <c r="G25" s="29"/>
      <c r="H25" s="29"/>
      <c r="I25" s="20" t="n">
        <f aca="false">IFERROR(H25-G25,0)</f>
        <v>0</v>
      </c>
      <c r="J25" s="21" t="n">
        <f aca="false">IFERROR((H25-G25)/H25,0)</f>
        <v>0</v>
      </c>
      <c r="K25" s="28"/>
    </row>
    <row r="26" customFormat="false" ht="15" hidden="false" customHeight="true" outlineLevel="0" collapsed="false">
      <c r="A26" s="27"/>
      <c r="B26" s="28"/>
      <c r="C26" s="28"/>
      <c r="D26" s="28"/>
      <c r="E26" s="28"/>
      <c r="F26" s="28"/>
      <c r="G26" s="29"/>
      <c r="H26" s="29"/>
      <c r="I26" s="20" t="n">
        <f aca="false">IFERROR(H26-G26,0)</f>
        <v>0</v>
      </c>
      <c r="J26" s="21" t="n">
        <f aca="false">IFERROR((H26-G26)/H26,0)</f>
        <v>0</v>
      </c>
      <c r="K26" s="28"/>
    </row>
    <row r="27" customFormat="false" ht="15" hidden="false" customHeight="true" outlineLevel="0" collapsed="false">
      <c r="A27" s="27"/>
      <c r="B27" s="28"/>
      <c r="C27" s="28"/>
      <c r="D27" s="28"/>
      <c r="E27" s="28"/>
      <c r="F27" s="28"/>
      <c r="G27" s="29"/>
      <c r="H27" s="29"/>
      <c r="I27" s="20" t="n">
        <f aca="false">IFERROR(H27-G27,0)</f>
        <v>0</v>
      </c>
      <c r="J27" s="21" t="n">
        <f aca="false">IFERROR((H27-G27)/H27,0)</f>
        <v>0</v>
      </c>
      <c r="K27" s="28"/>
    </row>
    <row r="28" customFormat="false" ht="15" hidden="false" customHeight="true" outlineLevel="0" collapsed="false">
      <c r="A28" s="27"/>
      <c r="B28" s="28"/>
      <c r="C28" s="28"/>
      <c r="D28" s="28"/>
      <c r="E28" s="28"/>
      <c r="F28" s="28"/>
      <c r="G28" s="29"/>
      <c r="H28" s="29"/>
      <c r="I28" s="20" t="n">
        <f aca="false">IFERROR(H28-G28,0)</f>
        <v>0</v>
      </c>
      <c r="J28" s="21" t="n">
        <f aca="false">IFERROR((H28-G28)/H28,0)</f>
        <v>0</v>
      </c>
      <c r="K28" s="28"/>
    </row>
    <row r="29" customFormat="false" ht="15" hidden="false" customHeight="true" outlineLevel="0" collapsed="false">
      <c r="A29" s="27"/>
      <c r="B29" s="28"/>
      <c r="C29" s="28"/>
      <c r="D29" s="28"/>
      <c r="E29" s="28"/>
      <c r="F29" s="28"/>
      <c r="G29" s="29"/>
      <c r="H29" s="29"/>
      <c r="I29" s="20" t="n">
        <f aca="false">IFERROR(H29-G29,0)</f>
        <v>0</v>
      </c>
      <c r="J29" s="21" t="n">
        <f aca="false">IFERROR((H29-G29)/H29,0)</f>
        <v>0</v>
      </c>
      <c r="K29" s="28"/>
    </row>
    <row r="30" customFormat="false" ht="15" hidden="false" customHeight="true" outlineLevel="0" collapsed="false">
      <c r="A30" s="27"/>
      <c r="B30" s="28"/>
      <c r="C30" s="28"/>
      <c r="D30" s="28"/>
      <c r="E30" s="28"/>
      <c r="F30" s="28"/>
      <c r="G30" s="29"/>
      <c r="H30" s="29"/>
      <c r="I30" s="20" t="n">
        <f aca="false">IFERROR(H30-G30,0)</f>
        <v>0</v>
      </c>
      <c r="J30" s="21" t="n">
        <f aca="false">IFERROR((H30-G30)/H30,0)</f>
        <v>0</v>
      </c>
      <c r="K30" s="28"/>
    </row>
    <row r="31" customFormat="false" ht="15" hidden="false" customHeight="true" outlineLevel="0" collapsed="false">
      <c r="A31" s="27"/>
      <c r="B31" s="28"/>
      <c r="C31" s="28"/>
      <c r="D31" s="28"/>
      <c r="E31" s="28"/>
      <c r="F31" s="28"/>
      <c r="G31" s="29"/>
      <c r="H31" s="29"/>
      <c r="I31" s="20" t="n">
        <f aca="false">IFERROR(H31-G31,0)</f>
        <v>0</v>
      </c>
      <c r="J31" s="21" t="n">
        <f aca="false">IFERROR((H31-G31)/H31,0)</f>
        <v>0</v>
      </c>
      <c r="K31" s="28"/>
    </row>
    <row r="32" customFormat="false" ht="15" hidden="false" customHeight="true" outlineLevel="0" collapsed="false">
      <c r="A32" s="27"/>
      <c r="B32" s="28"/>
      <c r="C32" s="28"/>
      <c r="D32" s="28"/>
      <c r="E32" s="28"/>
      <c r="F32" s="28"/>
      <c r="G32" s="29"/>
      <c r="H32" s="29"/>
      <c r="I32" s="20" t="n">
        <f aca="false">IFERROR(H32-G32,0)</f>
        <v>0</v>
      </c>
      <c r="J32" s="21" t="n">
        <f aca="false">IFERROR((H32-G32)/H32,0)</f>
        <v>0</v>
      </c>
      <c r="K32" s="28"/>
    </row>
    <row r="33" customFormat="false" ht="15" hidden="false" customHeight="true" outlineLevel="0" collapsed="false">
      <c r="A33" s="27"/>
      <c r="B33" s="28"/>
      <c r="C33" s="28"/>
      <c r="D33" s="28"/>
      <c r="E33" s="28"/>
      <c r="F33" s="28"/>
      <c r="G33" s="29"/>
      <c r="H33" s="29"/>
      <c r="I33" s="20" t="n">
        <f aca="false">IFERROR(H33-G33,0)</f>
        <v>0</v>
      </c>
      <c r="J33" s="21" t="n">
        <f aca="false">IFERROR((H33-G33)/H33,0)</f>
        <v>0</v>
      </c>
      <c r="K33" s="28"/>
    </row>
    <row r="34" customFormat="false" ht="15" hidden="false" customHeight="true" outlineLevel="0" collapsed="false">
      <c r="A34" s="27"/>
      <c r="B34" s="28"/>
      <c r="C34" s="28"/>
      <c r="D34" s="28"/>
      <c r="E34" s="28"/>
      <c r="F34" s="28"/>
      <c r="G34" s="29"/>
      <c r="H34" s="29"/>
      <c r="I34" s="20" t="n">
        <f aca="false">IFERROR(H34-G34,0)</f>
        <v>0</v>
      </c>
      <c r="J34" s="21" t="n">
        <f aca="false">IFERROR((H34-G34)/H34,0)</f>
        <v>0</v>
      </c>
      <c r="K34" s="28"/>
    </row>
    <row r="35" customFormat="false" ht="15" hidden="false" customHeight="true" outlineLevel="0" collapsed="false">
      <c r="A35" s="27"/>
      <c r="B35" s="28"/>
      <c r="C35" s="28"/>
      <c r="D35" s="28"/>
      <c r="E35" s="28"/>
      <c r="F35" s="28"/>
      <c r="G35" s="29"/>
      <c r="H35" s="29"/>
      <c r="I35" s="20" t="n">
        <f aca="false">IFERROR(H35-G35,0)</f>
        <v>0</v>
      </c>
      <c r="J35" s="21" t="n">
        <f aca="false">IFERROR((H35-G35)/H35,0)</f>
        <v>0</v>
      </c>
      <c r="K35" s="28"/>
    </row>
    <row r="36" customFormat="false" ht="15" hidden="false" customHeight="true" outlineLevel="0" collapsed="false">
      <c r="A36" s="27"/>
      <c r="B36" s="28"/>
      <c r="C36" s="28"/>
      <c r="D36" s="28"/>
      <c r="E36" s="28"/>
      <c r="F36" s="28"/>
      <c r="G36" s="29"/>
      <c r="H36" s="29"/>
      <c r="I36" s="20" t="n">
        <f aca="false">IFERROR(H36-G36,0)</f>
        <v>0</v>
      </c>
      <c r="J36" s="21" t="n">
        <f aca="false">IFERROR((H36-G36)/H36,0)</f>
        <v>0</v>
      </c>
      <c r="K36" s="28"/>
    </row>
    <row r="37" customFormat="false" ht="15" hidden="false" customHeight="true" outlineLevel="0" collapsed="false">
      <c r="A37" s="27"/>
      <c r="B37" s="28"/>
      <c r="C37" s="28"/>
      <c r="D37" s="28"/>
      <c r="E37" s="28"/>
      <c r="F37" s="28"/>
      <c r="G37" s="29"/>
      <c r="H37" s="29"/>
      <c r="I37" s="20" t="n">
        <f aca="false">IFERROR(H37-G37,0)</f>
        <v>0</v>
      </c>
      <c r="J37" s="21" t="n">
        <f aca="false">IFERROR((H37-G37)/H37,0)</f>
        <v>0</v>
      </c>
      <c r="K37" s="28"/>
    </row>
    <row r="38" customFormat="false" ht="15" hidden="false" customHeight="true" outlineLevel="0" collapsed="false">
      <c r="A38" s="27"/>
      <c r="B38" s="28"/>
      <c r="C38" s="28"/>
      <c r="D38" s="28"/>
      <c r="E38" s="28"/>
      <c r="F38" s="28"/>
      <c r="G38" s="29"/>
      <c r="H38" s="29"/>
      <c r="I38" s="20" t="n">
        <f aca="false">IFERROR(H38-G38,0)</f>
        <v>0</v>
      </c>
      <c r="J38" s="21" t="n">
        <f aca="false">IFERROR((H38-G38)/H38,0)</f>
        <v>0</v>
      </c>
      <c r="K38" s="28"/>
    </row>
    <row r="39" customFormat="false" ht="15" hidden="false" customHeight="true" outlineLevel="0" collapsed="false">
      <c r="A39" s="27"/>
      <c r="B39" s="28"/>
      <c r="C39" s="28"/>
      <c r="D39" s="28"/>
      <c r="E39" s="28"/>
      <c r="F39" s="28"/>
      <c r="G39" s="29"/>
      <c r="H39" s="29"/>
      <c r="I39" s="20" t="n">
        <f aca="false">IFERROR(H39-G39,0)</f>
        <v>0</v>
      </c>
      <c r="J39" s="21" t="n">
        <f aca="false">IFERROR((H39-G39)/H39,0)</f>
        <v>0</v>
      </c>
      <c r="K39" s="28"/>
    </row>
    <row r="40" customFormat="false" ht="15" hidden="false" customHeight="true" outlineLevel="0" collapsed="false">
      <c r="A40" s="27"/>
      <c r="B40" s="28"/>
      <c r="C40" s="28"/>
      <c r="D40" s="28"/>
      <c r="E40" s="28"/>
      <c r="F40" s="28"/>
      <c r="G40" s="29"/>
      <c r="H40" s="29"/>
      <c r="I40" s="20" t="n">
        <f aca="false">IFERROR(H40-G40,0)</f>
        <v>0</v>
      </c>
      <c r="J40" s="21" t="n">
        <f aca="false">IFERROR((H40-G40)/H40,0)</f>
        <v>0</v>
      </c>
      <c r="K40" s="28"/>
    </row>
    <row r="41" customFormat="false" ht="15" hidden="false" customHeight="true" outlineLevel="0" collapsed="false">
      <c r="A41" s="27"/>
      <c r="B41" s="28"/>
      <c r="C41" s="28"/>
      <c r="D41" s="28"/>
      <c r="E41" s="28"/>
      <c r="F41" s="28"/>
      <c r="G41" s="29"/>
      <c r="H41" s="29"/>
      <c r="I41" s="20" t="n">
        <f aca="false">IFERROR(H41-G41,0)</f>
        <v>0</v>
      </c>
      <c r="J41" s="21" t="n">
        <f aca="false">IFERROR((H41-G41)/H41,0)</f>
        <v>0</v>
      </c>
      <c r="K41" s="28"/>
    </row>
    <row r="42" customFormat="false" ht="15" hidden="false" customHeight="true" outlineLevel="0" collapsed="false">
      <c r="A42" s="27"/>
      <c r="B42" s="28"/>
      <c r="C42" s="28"/>
      <c r="D42" s="28"/>
      <c r="E42" s="28"/>
      <c r="F42" s="28"/>
      <c r="G42" s="29"/>
      <c r="H42" s="29"/>
      <c r="I42" s="20" t="n">
        <f aca="false">IFERROR(H42-G42,0)</f>
        <v>0</v>
      </c>
      <c r="J42" s="21" t="n">
        <f aca="false">IFERROR((H42-G42)/H42,0)</f>
        <v>0</v>
      </c>
      <c r="K42" s="28"/>
    </row>
    <row r="43" customFormat="false" ht="15" hidden="false" customHeight="true" outlineLevel="0" collapsed="false">
      <c r="A43" s="27"/>
      <c r="B43" s="28"/>
      <c r="C43" s="28"/>
      <c r="D43" s="28"/>
      <c r="E43" s="28"/>
      <c r="F43" s="28"/>
      <c r="G43" s="29"/>
      <c r="H43" s="29"/>
      <c r="I43" s="20" t="n">
        <f aca="false">IFERROR(H43-G43,0)</f>
        <v>0</v>
      </c>
      <c r="J43" s="21" t="n">
        <f aca="false">IFERROR((H43-G43)/H43,0)</f>
        <v>0</v>
      </c>
      <c r="K43" s="28"/>
    </row>
    <row r="44" customFormat="false" ht="15" hidden="false" customHeight="true" outlineLevel="0" collapsed="false">
      <c r="A44" s="27"/>
      <c r="B44" s="28"/>
      <c r="C44" s="28"/>
      <c r="D44" s="28"/>
      <c r="E44" s="28"/>
      <c r="F44" s="28"/>
      <c r="G44" s="29"/>
      <c r="H44" s="29"/>
      <c r="I44" s="20" t="n">
        <f aca="false">IFERROR(H44-G44,0)</f>
        <v>0</v>
      </c>
      <c r="J44" s="21" t="n">
        <f aca="false">IFERROR((H44-G44)/H44,0)</f>
        <v>0</v>
      </c>
      <c r="K44" s="28"/>
    </row>
    <row r="45" customFormat="false" ht="15" hidden="false" customHeight="true" outlineLevel="0" collapsed="false">
      <c r="A45" s="27"/>
      <c r="B45" s="28"/>
      <c r="C45" s="28"/>
      <c r="D45" s="28"/>
      <c r="E45" s="28"/>
      <c r="F45" s="28"/>
      <c r="G45" s="29"/>
      <c r="H45" s="29"/>
      <c r="I45" s="20" t="n">
        <f aca="false">IFERROR(H45-G45,0)</f>
        <v>0</v>
      </c>
      <c r="J45" s="21" t="n">
        <f aca="false">IFERROR((H45-G45)/H45,0)</f>
        <v>0</v>
      </c>
      <c r="K45" s="28"/>
    </row>
    <row r="46" customFormat="false" ht="15" hidden="false" customHeight="true" outlineLevel="0" collapsed="false">
      <c r="A46" s="27"/>
      <c r="B46" s="28"/>
      <c r="C46" s="28"/>
      <c r="D46" s="28"/>
      <c r="E46" s="28"/>
      <c r="F46" s="28"/>
      <c r="G46" s="29"/>
      <c r="H46" s="29"/>
      <c r="I46" s="20" t="n">
        <f aca="false">IFERROR(H46-G46,0)</f>
        <v>0</v>
      </c>
      <c r="J46" s="21" t="n">
        <f aca="false">IFERROR((H46-G46)/H46,0)</f>
        <v>0</v>
      </c>
      <c r="K46" s="28"/>
    </row>
    <row r="47" customFormat="false" ht="15" hidden="false" customHeight="true" outlineLevel="0" collapsed="false">
      <c r="A47" s="27"/>
      <c r="B47" s="28"/>
      <c r="C47" s="28"/>
      <c r="D47" s="28"/>
      <c r="E47" s="28"/>
      <c r="F47" s="28"/>
      <c r="G47" s="29"/>
      <c r="H47" s="29"/>
      <c r="I47" s="20" t="n">
        <f aca="false">IFERROR(H47-G47,0)</f>
        <v>0</v>
      </c>
      <c r="J47" s="21" t="n">
        <f aca="false">IFERROR((H47-G47)/H47,0)</f>
        <v>0</v>
      </c>
      <c r="K47" s="28"/>
    </row>
    <row r="48" customFormat="false" ht="15" hidden="false" customHeight="true" outlineLevel="0" collapsed="false">
      <c r="A48" s="27"/>
      <c r="B48" s="28"/>
      <c r="C48" s="28"/>
      <c r="D48" s="28"/>
      <c r="E48" s="28"/>
      <c r="F48" s="28"/>
      <c r="G48" s="29"/>
      <c r="H48" s="29"/>
      <c r="I48" s="20" t="n">
        <f aca="false">IFERROR(H48-G48,0)</f>
        <v>0</v>
      </c>
      <c r="J48" s="21" t="n">
        <f aca="false">IFERROR((H48-G48)/H48,0)</f>
        <v>0</v>
      </c>
      <c r="K48" s="28"/>
    </row>
    <row r="49" customFormat="false" ht="15" hidden="false" customHeight="true" outlineLevel="0" collapsed="false">
      <c r="A49" s="27"/>
      <c r="B49" s="28"/>
      <c r="C49" s="28"/>
      <c r="D49" s="28"/>
      <c r="E49" s="28"/>
      <c r="F49" s="28"/>
      <c r="G49" s="29"/>
      <c r="H49" s="29"/>
      <c r="I49" s="20" t="n">
        <f aca="false">IFERROR(H49-G49,0)</f>
        <v>0</v>
      </c>
      <c r="J49" s="21" t="n">
        <f aca="false">IFERROR((H49-G49)/H49,0)</f>
        <v>0</v>
      </c>
      <c r="K49" s="28"/>
    </row>
    <row r="50" customFormat="false" ht="15" hidden="false" customHeight="true" outlineLevel="0" collapsed="false">
      <c r="A50" s="27"/>
      <c r="B50" s="28"/>
      <c r="C50" s="28"/>
      <c r="D50" s="28"/>
      <c r="E50" s="28"/>
      <c r="F50" s="28"/>
      <c r="G50" s="29"/>
      <c r="H50" s="29"/>
      <c r="I50" s="20" t="n">
        <f aca="false">IFERROR(H50-G50,0)</f>
        <v>0</v>
      </c>
      <c r="J50" s="21" t="n">
        <f aca="false">IFERROR((H50-G50)/H50,0)</f>
        <v>0</v>
      </c>
      <c r="K50" s="28"/>
    </row>
    <row r="51" customFormat="false" ht="15" hidden="false" customHeight="true" outlineLevel="0" collapsed="false">
      <c r="A51" s="27"/>
      <c r="B51" s="28"/>
      <c r="C51" s="28"/>
      <c r="D51" s="28"/>
      <c r="E51" s="28"/>
      <c r="F51" s="28"/>
      <c r="G51" s="29"/>
      <c r="H51" s="29"/>
      <c r="I51" s="20" t="n">
        <f aca="false">IFERROR(H51-G51,0)</f>
        <v>0</v>
      </c>
      <c r="J51" s="21" t="n">
        <f aca="false">IFERROR((H51-G51)/H51,0)</f>
        <v>0</v>
      </c>
      <c r="K51" s="28"/>
    </row>
    <row r="52" customFormat="false" ht="15" hidden="false" customHeight="true" outlineLevel="0" collapsed="false">
      <c r="A52" s="27"/>
      <c r="B52" s="28"/>
      <c r="C52" s="28"/>
      <c r="D52" s="28"/>
      <c r="E52" s="28"/>
      <c r="F52" s="28"/>
      <c r="G52" s="29"/>
      <c r="H52" s="29"/>
      <c r="I52" s="20" t="n">
        <f aca="false">IFERROR(H52-G52,0)</f>
        <v>0</v>
      </c>
      <c r="J52" s="21" t="n">
        <f aca="false">IFERROR((H52-G52)/H52,0)</f>
        <v>0</v>
      </c>
      <c r="K52" s="28"/>
    </row>
    <row r="53" customFormat="false" ht="15" hidden="false" customHeight="true" outlineLevel="0" collapsed="false">
      <c r="A53" s="27"/>
      <c r="B53" s="28"/>
      <c r="C53" s="28"/>
      <c r="D53" s="28"/>
      <c r="E53" s="28"/>
      <c r="F53" s="28"/>
      <c r="G53" s="29"/>
      <c r="H53" s="29"/>
      <c r="I53" s="20" t="n">
        <f aca="false">IFERROR(H53-G53,0)</f>
        <v>0</v>
      </c>
      <c r="J53" s="21" t="n">
        <f aca="false">IFERROR((H53-G53)/H53,0)</f>
        <v>0</v>
      </c>
      <c r="K53" s="28"/>
    </row>
    <row r="54" customFormat="false" ht="15" hidden="false" customHeight="true" outlineLevel="0" collapsed="false">
      <c r="A54" s="27"/>
      <c r="B54" s="28"/>
      <c r="C54" s="28"/>
      <c r="D54" s="28"/>
      <c r="E54" s="28"/>
      <c r="F54" s="28"/>
      <c r="G54" s="29"/>
      <c r="H54" s="29"/>
      <c r="I54" s="20" t="n">
        <f aca="false">IFERROR(H54-G54,0)</f>
        <v>0</v>
      </c>
      <c r="J54" s="21" t="n">
        <f aca="false">IFERROR((H54-G54)/H54,0)</f>
        <v>0</v>
      </c>
      <c r="K54" s="28"/>
    </row>
    <row r="55" customFormat="false" ht="15" hidden="false" customHeight="true" outlineLevel="0" collapsed="false">
      <c r="A55" s="27"/>
      <c r="B55" s="28"/>
      <c r="C55" s="28"/>
      <c r="D55" s="28"/>
      <c r="E55" s="28"/>
      <c r="F55" s="28"/>
      <c r="G55" s="29"/>
      <c r="H55" s="29"/>
      <c r="I55" s="20" t="n">
        <f aca="false">IFERROR(H55-G55,0)</f>
        <v>0</v>
      </c>
      <c r="J55" s="21" t="n">
        <f aca="false">IFERROR((H55-G55)/H55,0)</f>
        <v>0</v>
      </c>
      <c r="K55" s="28"/>
    </row>
    <row r="56" customFormat="false" ht="15" hidden="false" customHeight="true" outlineLevel="0" collapsed="false">
      <c r="A56" s="27"/>
      <c r="B56" s="28"/>
      <c r="C56" s="28"/>
      <c r="D56" s="28"/>
      <c r="E56" s="28"/>
      <c r="F56" s="28"/>
      <c r="G56" s="29"/>
      <c r="H56" s="29"/>
      <c r="I56" s="20" t="n">
        <f aca="false">IFERROR(H56-G56,0)</f>
        <v>0</v>
      </c>
      <c r="J56" s="21" t="n">
        <f aca="false">IFERROR((H56-G56)/H56,0)</f>
        <v>0</v>
      </c>
      <c r="K56" s="28"/>
    </row>
    <row r="57" customFormat="false" ht="15" hidden="false" customHeight="true" outlineLevel="0" collapsed="false">
      <c r="A57" s="27"/>
      <c r="B57" s="28"/>
      <c r="C57" s="28"/>
      <c r="D57" s="28"/>
      <c r="E57" s="28"/>
      <c r="F57" s="28"/>
      <c r="G57" s="29"/>
      <c r="H57" s="29"/>
      <c r="I57" s="20" t="n">
        <f aca="false">IFERROR(H57-G57,0)</f>
        <v>0</v>
      </c>
      <c r="J57" s="21" t="n">
        <f aca="false">IFERROR((H57-G57)/H57,0)</f>
        <v>0</v>
      </c>
      <c r="K57" s="28"/>
    </row>
    <row r="58" customFormat="false" ht="15" hidden="false" customHeight="true" outlineLevel="0" collapsed="false">
      <c r="A58" s="27"/>
      <c r="B58" s="28"/>
      <c r="C58" s="28"/>
      <c r="D58" s="28"/>
      <c r="E58" s="28"/>
      <c r="F58" s="28"/>
      <c r="G58" s="29"/>
      <c r="H58" s="29"/>
      <c r="I58" s="20" t="n">
        <f aca="false">IFERROR(H58-G58,0)</f>
        <v>0</v>
      </c>
      <c r="J58" s="21" t="n">
        <f aca="false">IFERROR((H58-G58)/H58,0)</f>
        <v>0</v>
      </c>
      <c r="K58" s="28"/>
    </row>
    <row r="59" customFormat="false" ht="15" hidden="false" customHeight="true" outlineLevel="0" collapsed="false">
      <c r="A59" s="27"/>
      <c r="B59" s="28"/>
      <c r="C59" s="28"/>
      <c r="D59" s="28"/>
      <c r="E59" s="28"/>
      <c r="F59" s="28"/>
      <c r="G59" s="29"/>
      <c r="H59" s="29"/>
      <c r="I59" s="20" t="n">
        <f aca="false">IFERROR(H59-G59,0)</f>
        <v>0</v>
      </c>
      <c r="J59" s="21" t="n">
        <f aca="false">IFERROR((H59-G59)/H59,0)</f>
        <v>0</v>
      </c>
      <c r="K59" s="28"/>
    </row>
    <row r="60" customFormat="false" ht="15" hidden="false" customHeight="true" outlineLevel="0" collapsed="false">
      <c r="A60" s="27"/>
      <c r="B60" s="28"/>
      <c r="C60" s="28"/>
      <c r="D60" s="28"/>
      <c r="E60" s="28"/>
      <c r="F60" s="28"/>
      <c r="G60" s="29"/>
      <c r="H60" s="29"/>
      <c r="I60" s="20" t="n">
        <f aca="false">IFERROR(H60-G60,0)</f>
        <v>0</v>
      </c>
      <c r="J60" s="21" t="n">
        <f aca="false">IFERROR((H60-G60)/H60,0)</f>
        <v>0</v>
      </c>
      <c r="K60" s="28"/>
    </row>
    <row r="61" customFormat="false" ht="15" hidden="false" customHeight="true" outlineLevel="0" collapsed="false">
      <c r="A61" s="27"/>
      <c r="B61" s="28"/>
      <c r="C61" s="28"/>
      <c r="D61" s="28"/>
      <c r="E61" s="28"/>
      <c r="F61" s="28"/>
      <c r="G61" s="29"/>
      <c r="H61" s="29"/>
      <c r="I61" s="20" t="n">
        <f aca="false">IFERROR(H61-G61,0)</f>
        <v>0</v>
      </c>
      <c r="J61" s="21" t="n">
        <f aca="false">IFERROR((H61-G61)/H61,0)</f>
        <v>0</v>
      </c>
      <c r="K61" s="28"/>
    </row>
    <row r="62" customFormat="false" ht="15" hidden="false" customHeight="true" outlineLevel="0" collapsed="false">
      <c r="A62" s="27"/>
      <c r="B62" s="28"/>
      <c r="C62" s="28"/>
      <c r="D62" s="28"/>
      <c r="E62" s="28"/>
      <c r="F62" s="28"/>
      <c r="G62" s="29"/>
      <c r="H62" s="29"/>
      <c r="I62" s="20" t="n">
        <f aca="false">IFERROR(H62-G62,0)</f>
        <v>0</v>
      </c>
      <c r="J62" s="21" t="n">
        <f aca="false">IFERROR((H62-G62)/H62,0)</f>
        <v>0</v>
      </c>
      <c r="K62" s="28"/>
    </row>
    <row r="63" customFormat="false" ht="15" hidden="false" customHeight="true" outlineLevel="0" collapsed="false">
      <c r="A63" s="27"/>
      <c r="B63" s="28"/>
      <c r="C63" s="28"/>
      <c r="D63" s="28"/>
      <c r="E63" s="28"/>
      <c r="F63" s="28"/>
      <c r="G63" s="29"/>
      <c r="H63" s="29"/>
      <c r="I63" s="20" t="n">
        <f aca="false">IFERROR(H63-G63,0)</f>
        <v>0</v>
      </c>
      <c r="J63" s="21" t="n">
        <f aca="false">IFERROR((H63-G63)/H63,0)</f>
        <v>0</v>
      </c>
      <c r="K63" s="28"/>
    </row>
    <row r="64" customFormat="false" ht="15" hidden="false" customHeight="true" outlineLevel="0" collapsed="false">
      <c r="A64" s="27"/>
      <c r="B64" s="28"/>
      <c r="C64" s="28"/>
      <c r="D64" s="28"/>
      <c r="E64" s="28"/>
      <c r="F64" s="28"/>
      <c r="G64" s="29"/>
      <c r="H64" s="29"/>
      <c r="I64" s="20" t="n">
        <f aca="false">IFERROR(H64-G64,0)</f>
        <v>0</v>
      </c>
      <c r="J64" s="21" t="n">
        <f aca="false">IFERROR((H64-G64)/H64,0)</f>
        <v>0</v>
      </c>
      <c r="K64" s="28"/>
    </row>
    <row r="65" customFormat="false" ht="15" hidden="false" customHeight="true" outlineLevel="0" collapsed="false">
      <c r="A65" s="27"/>
      <c r="B65" s="28"/>
      <c r="C65" s="28"/>
      <c r="D65" s="28"/>
      <c r="E65" s="28"/>
      <c r="F65" s="28"/>
      <c r="G65" s="29"/>
      <c r="H65" s="29"/>
      <c r="I65" s="20" t="n">
        <f aca="false">IFERROR(H65-G65,0)</f>
        <v>0</v>
      </c>
      <c r="J65" s="21" t="n">
        <f aca="false">IFERROR((H65-G65)/H65,0)</f>
        <v>0</v>
      </c>
      <c r="K65" s="28"/>
    </row>
    <row r="66" customFormat="false" ht="15" hidden="false" customHeight="true" outlineLevel="0" collapsed="false">
      <c r="A66" s="27"/>
      <c r="B66" s="28"/>
      <c r="C66" s="28"/>
      <c r="D66" s="28"/>
      <c r="E66" s="28"/>
      <c r="F66" s="28"/>
      <c r="G66" s="29"/>
      <c r="H66" s="29"/>
      <c r="I66" s="20" t="n">
        <f aca="false">IFERROR(H66-G66,0)</f>
        <v>0</v>
      </c>
      <c r="J66" s="21" t="n">
        <f aca="false">IFERROR((H66-G66)/H66,0)</f>
        <v>0</v>
      </c>
      <c r="K66" s="28"/>
    </row>
    <row r="67" customFormat="false" ht="15" hidden="false" customHeight="true" outlineLevel="0" collapsed="false">
      <c r="A67" s="27"/>
      <c r="B67" s="28"/>
      <c r="C67" s="28"/>
      <c r="D67" s="28"/>
      <c r="E67" s="28"/>
      <c r="F67" s="28"/>
      <c r="G67" s="29"/>
      <c r="H67" s="29"/>
      <c r="I67" s="20" t="n">
        <f aca="false">IFERROR(H67-G67,0)</f>
        <v>0</v>
      </c>
      <c r="J67" s="21" t="n">
        <f aca="false">IFERROR((H67-G67)/H67,0)</f>
        <v>0</v>
      </c>
      <c r="K67" s="28"/>
    </row>
    <row r="68" customFormat="false" ht="15" hidden="false" customHeight="true" outlineLevel="0" collapsed="false">
      <c r="A68" s="27"/>
      <c r="B68" s="28"/>
      <c r="C68" s="28"/>
      <c r="D68" s="28"/>
      <c r="E68" s="28"/>
      <c r="F68" s="28"/>
      <c r="G68" s="29"/>
      <c r="H68" s="29"/>
      <c r="I68" s="20" t="n">
        <f aca="false">IFERROR(H68-G68,0)</f>
        <v>0</v>
      </c>
      <c r="J68" s="21" t="n">
        <f aca="false">IFERROR((H68-G68)/H68,0)</f>
        <v>0</v>
      </c>
      <c r="K68" s="28"/>
    </row>
    <row r="69" customFormat="false" ht="15" hidden="false" customHeight="true" outlineLevel="0" collapsed="false">
      <c r="A69" s="27"/>
      <c r="B69" s="28"/>
      <c r="C69" s="28"/>
      <c r="D69" s="28"/>
      <c r="E69" s="28"/>
      <c r="F69" s="28"/>
      <c r="G69" s="29"/>
      <c r="H69" s="29"/>
      <c r="I69" s="20" t="n">
        <f aca="false">IFERROR(H69-G69,0)</f>
        <v>0</v>
      </c>
      <c r="J69" s="21" t="n">
        <f aca="false">IFERROR((H69-G69)/H69,0)</f>
        <v>0</v>
      </c>
      <c r="K69" s="28"/>
    </row>
    <row r="70" customFormat="false" ht="15" hidden="false" customHeight="true" outlineLevel="0" collapsed="false">
      <c r="A70" s="27"/>
      <c r="B70" s="28"/>
      <c r="C70" s="28"/>
      <c r="D70" s="28"/>
      <c r="E70" s="28"/>
      <c r="F70" s="28"/>
      <c r="G70" s="29"/>
      <c r="H70" s="29"/>
      <c r="I70" s="20" t="n">
        <f aca="false">IFERROR(H70-G70,0)</f>
        <v>0</v>
      </c>
      <c r="J70" s="21" t="n">
        <f aca="false">IFERROR((H70-G70)/H70,0)</f>
        <v>0</v>
      </c>
      <c r="K70" s="28"/>
    </row>
    <row r="71" customFormat="false" ht="15" hidden="false" customHeight="true" outlineLevel="0" collapsed="false">
      <c r="A71" s="27"/>
      <c r="B71" s="28"/>
      <c r="C71" s="28"/>
      <c r="D71" s="28"/>
      <c r="E71" s="28"/>
      <c r="F71" s="28"/>
      <c r="G71" s="29"/>
      <c r="H71" s="29"/>
      <c r="I71" s="20" t="n">
        <f aca="false">IFERROR(H71-G71,0)</f>
        <v>0</v>
      </c>
      <c r="J71" s="21" t="n">
        <f aca="false">IFERROR((H71-G71)/H71,0)</f>
        <v>0</v>
      </c>
      <c r="K71" s="28"/>
    </row>
    <row r="72" customFormat="false" ht="15" hidden="false" customHeight="true" outlineLevel="0" collapsed="false">
      <c r="A72" s="27"/>
      <c r="B72" s="28"/>
      <c r="C72" s="28"/>
      <c r="D72" s="28"/>
      <c r="E72" s="28"/>
      <c r="F72" s="28"/>
      <c r="G72" s="29"/>
      <c r="H72" s="29"/>
      <c r="I72" s="20" t="n">
        <f aca="false">IFERROR(H72-G72,0)</f>
        <v>0</v>
      </c>
      <c r="J72" s="21" t="n">
        <f aca="false">IFERROR((H72-G72)/H72,0)</f>
        <v>0</v>
      </c>
      <c r="K72" s="28"/>
    </row>
    <row r="73" customFormat="false" ht="15" hidden="false" customHeight="true" outlineLevel="0" collapsed="false">
      <c r="A73" s="27"/>
      <c r="B73" s="28"/>
      <c r="C73" s="28"/>
      <c r="D73" s="28"/>
      <c r="E73" s="28"/>
      <c r="F73" s="28"/>
      <c r="G73" s="29"/>
      <c r="H73" s="29"/>
      <c r="I73" s="20" t="n">
        <f aca="false">IFERROR(H73-G73,0)</f>
        <v>0</v>
      </c>
      <c r="J73" s="21" t="n">
        <f aca="false">IFERROR((H73-G73)/H73,0)</f>
        <v>0</v>
      </c>
      <c r="K73" s="28"/>
    </row>
    <row r="74" customFormat="false" ht="15" hidden="false" customHeight="true" outlineLevel="0" collapsed="false">
      <c r="A74" s="27"/>
      <c r="B74" s="28"/>
      <c r="C74" s="28"/>
      <c r="D74" s="28"/>
      <c r="E74" s="28"/>
      <c r="F74" s="28"/>
      <c r="G74" s="29"/>
      <c r="H74" s="29"/>
      <c r="I74" s="20" t="n">
        <f aca="false">IFERROR(H74-G74,0)</f>
        <v>0</v>
      </c>
      <c r="J74" s="21" t="n">
        <f aca="false">IFERROR((H74-G74)/H74,0)</f>
        <v>0</v>
      </c>
      <c r="K74" s="28"/>
    </row>
    <row r="75" customFormat="false" ht="15" hidden="false" customHeight="true" outlineLevel="0" collapsed="false">
      <c r="A75" s="27"/>
      <c r="B75" s="28"/>
      <c r="C75" s="28"/>
      <c r="D75" s="28"/>
      <c r="E75" s="28"/>
      <c r="F75" s="28"/>
      <c r="G75" s="29"/>
      <c r="H75" s="29"/>
      <c r="I75" s="20" t="n">
        <f aca="false">IFERROR(H75-G75,0)</f>
        <v>0</v>
      </c>
      <c r="J75" s="21" t="n">
        <f aca="false">IFERROR((H75-G75)/H75,0)</f>
        <v>0</v>
      </c>
      <c r="K75" s="28"/>
    </row>
    <row r="76" customFormat="false" ht="15" hidden="false" customHeight="true" outlineLevel="0" collapsed="false">
      <c r="A76" s="27"/>
      <c r="B76" s="28"/>
      <c r="C76" s="28"/>
      <c r="D76" s="28"/>
      <c r="E76" s="28"/>
      <c r="F76" s="28"/>
      <c r="G76" s="29"/>
      <c r="H76" s="29"/>
      <c r="I76" s="20" t="n">
        <f aca="false">IFERROR(H76-G76,0)</f>
        <v>0</v>
      </c>
      <c r="J76" s="21" t="n">
        <f aca="false">IFERROR((H76-G76)/H76,0)</f>
        <v>0</v>
      </c>
      <c r="K76" s="28"/>
    </row>
    <row r="77" customFormat="false" ht="15" hidden="false" customHeight="true" outlineLevel="0" collapsed="false">
      <c r="A77" s="27"/>
      <c r="B77" s="28"/>
      <c r="C77" s="28"/>
      <c r="D77" s="28"/>
      <c r="E77" s="28"/>
      <c r="F77" s="28"/>
      <c r="G77" s="29"/>
      <c r="H77" s="29"/>
      <c r="I77" s="20" t="n">
        <f aca="false">IFERROR(H77-G77,0)</f>
        <v>0</v>
      </c>
      <c r="J77" s="21" t="n">
        <f aca="false">IFERROR((H77-G77)/H77,0)</f>
        <v>0</v>
      </c>
      <c r="K77" s="28"/>
    </row>
    <row r="78" customFormat="false" ht="15" hidden="false" customHeight="true" outlineLevel="0" collapsed="false">
      <c r="A78" s="27"/>
      <c r="B78" s="28"/>
      <c r="C78" s="28"/>
      <c r="D78" s="28"/>
      <c r="E78" s="28"/>
      <c r="F78" s="28"/>
      <c r="G78" s="29"/>
      <c r="H78" s="29"/>
      <c r="I78" s="20" t="n">
        <f aca="false">IFERROR(H78-G78,0)</f>
        <v>0</v>
      </c>
      <c r="J78" s="21" t="n">
        <f aca="false">IFERROR((H78-G78)/H78,0)</f>
        <v>0</v>
      </c>
      <c r="K78" s="28"/>
    </row>
    <row r="79" customFormat="false" ht="15" hidden="false" customHeight="true" outlineLevel="0" collapsed="false">
      <c r="A79" s="27"/>
      <c r="B79" s="28"/>
      <c r="C79" s="28"/>
      <c r="D79" s="28"/>
      <c r="E79" s="28"/>
      <c r="F79" s="28"/>
      <c r="G79" s="29"/>
      <c r="H79" s="29"/>
      <c r="I79" s="20" t="n">
        <f aca="false">IFERROR(H79-G79,0)</f>
        <v>0</v>
      </c>
      <c r="J79" s="21" t="n">
        <f aca="false">IFERROR((H79-G79)/H79,0)</f>
        <v>0</v>
      </c>
      <c r="K79" s="28"/>
    </row>
    <row r="80" customFormat="false" ht="15" hidden="false" customHeight="true" outlineLevel="0" collapsed="false">
      <c r="A80" s="27"/>
      <c r="B80" s="28"/>
      <c r="C80" s="28"/>
      <c r="D80" s="28"/>
      <c r="E80" s="28"/>
      <c r="F80" s="28"/>
      <c r="G80" s="29"/>
      <c r="H80" s="29"/>
      <c r="I80" s="20" t="n">
        <f aca="false">IFERROR(H80-G80,0)</f>
        <v>0</v>
      </c>
      <c r="J80" s="21" t="n">
        <f aca="false">IFERROR((H80-G80)/H80,0)</f>
        <v>0</v>
      </c>
      <c r="K80" s="28"/>
    </row>
    <row r="81" customFormat="false" ht="15" hidden="false" customHeight="true" outlineLevel="0" collapsed="false">
      <c r="A81" s="27"/>
      <c r="B81" s="28"/>
      <c r="C81" s="28"/>
      <c r="D81" s="28"/>
      <c r="E81" s="28"/>
      <c r="F81" s="28"/>
      <c r="G81" s="29"/>
      <c r="H81" s="29"/>
      <c r="I81" s="20" t="n">
        <f aca="false">IFERROR(H81-G81,0)</f>
        <v>0</v>
      </c>
      <c r="J81" s="21" t="n">
        <f aca="false">IFERROR((H81-G81)/H81,0)</f>
        <v>0</v>
      </c>
      <c r="K81" s="28"/>
    </row>
    <row r="82" customFormat="false" ht="15" hidden="false" customHeight="true" outlineLevel="0" collapsed="false">
      <c r="A82" s="27"/>
      <c r="B82" s="28"/>
      <c r="C82" s="28"/>
      <c r="D82" s="28"/>
      <c r="E82" s="28"/>
      <c r="F82" s="28"/>
      <c r="G82" s="29"/>
      <c r="H82" s="29"/>
      <c r="I82" s="20" t="n">
        <f aca="false">IFERROR(H82-G82,0)</f>
        <v>0</v>
      </c>
      <c r="J82" s="21" t="n">
        <f aca="false">IFERROR((H82-G82)/H82,0)</f>
        <v>0</v>
      </c>
      <c r="K82" s="28"/>
    </row>
    <row r="83" customFormat="false" ht="15" hidden="false" customHeight="true" outlineLevel="0" collapsed="false">
      <c r="A83" s="27"/>
      <c r="B83" s="28"/>
      <c r="C83" s="28"/>
      <c r="D83" s="28"/>
      <c r="E83" s="28"/>
      <c r="F83" s="28"/>
      <c r="G83" s="29"/>
      <c r="H83" s="29"/>
      <c r="I83" s="20" t="n">
        <f aca="false">IFERROR(H83-G83,0)</f>
        <v>0</v>
      </c>
      <c r="J83" s="21" t="n">
        <f aca="false">IFERROR((H83-G83)/H83,0)</f>
        <v>0</v>
      </c>
      <c r="K83" s="28"/>
    </row>
    <row r="84" customFormat="false" ht="15" hidden="false" customHeight="true" outlineLevel="0" collapsed="false">
      <c r="A84" s="27"/>
      <c r="B84" s="28"/>
      <c r="C84" s="28"/>
      <c r="D84" s="28"/>
      <c r="E84" s="28"/>
      <c r="F84" s="28"/>
      <c r="G84" s="29"/>
      <c r="H84" s="29"/>
      <c r="I84" s="20" t="n">
        <f aca="false">IFERROR(H84-G84,0)</f>
        <v>0</v>
      </c>
      <c r="J84" s="21" t="n">
        <f aca="false">IFERROR((H84-G84)/H84,0)</f>
        <v>0</v>
      </c>
      <c r="K84" s="28"/>
    </row>
    <row r="85" customFormat="false" ht="15" hidden="false" customHeight="true" outlineLevel="0" collapsed="false">
      <c r="A85" s="27"/>
      <c r="B85" s="28"/>
      <c r="C85" s="28"/>
      <c r="D85" s="28"/>
      <c r="E85" s="28"/>
      <c r="F85" s="28"/>
      <c r="G85" s="29"/>
      <c r="H85" s="29"/>
      <c r="I85" s="20" t="n">
        <f aca="false">IFERROR(H85-G85,0)</f>
        <v>0</v>
      </c>
      <c r="J85" s="21" t="n">
        <f aca="false">IFERROR((H85-G85)/H85,0)</f>
        <v>0</v>
      </c>
      <c r="K85" s="28"/>
    </row>
    <row r="86" customFormat="false" ht="15" hidden="false" customHeight="true" outlineLevel="0" collapsed="false">
      <c r="A86" s="27"/>
      <c r="B86" s="28"/>
      <c r="C86" s="28"/>
      <c r="D86" s="28"/>
      <c r="E86" s="28"/>
      <c r="F86" s="28"/>
      <c r="G86" s="29"/>
      <c r="H86" s="29"/>
      <c r="I86" s="20" t="n">
        <f aca="false">IFERROR(H86-G86,0)</f>
        <v>0</v>
      </c>
      <c r="J86" s="21" t="n">
        <f aca="false">IFERROR((H86-G86)/H86,0)</f>
        <v>0</v>
      </c>
      <c r="K86" s="28"/>
    </row>
    <row r="87" customFormat="false" ht="15" hidden="false" customHeight="true" outlineLevel="0" collapsed="false">
      <c r="A87" s="27"/>
      <c r="B87" s="28"/>
      <c r="C87" s="28"/>
      <c r="D87" s="28"/>
      <c r="E87" s="28"/>
      <c r="F87" s="28"/>
      <c r="G87" s="29"/>
      <c r="H87" s="29"/>
      <c r="I87" s="20" t="n">
        <f aca="false">IFERROR(H87-G87,0)</f>
        <v>0</v>
      </c>
      <c r="J87" s="21" t="n">
        <f aca="false">IFERROR((H87-G87)/H87,0)</f>
        <v>0</v>
      </c>
      <c r="K87" s="28"/>
    </row>
    <row r="88" customFormat="false" ht="15" hidden="false" customHeight="true" outlineLevel="0" collapsed="false">
      <c r="A88" s="27"/>
      <c r="B88" s="28"/>
      <c r="C88" s="28"/>
      <c r="D88" s="28"/>
      <c r="E88" s="28"/>
      <c r="F88" s="28"/>
      <c r="G88" s="29"/>
      <c r="H88" s="29"/>
      <c r="I88" s="20" t="n">
        <f aca="false">IFERROR(H88-G88,0)</f>
        <v>0</v>
      </c>
      <c r="J88" s="21" t="n">
        <f aca="false">IFERROR((H88-G88)/H88,0)</f>
        <v>0</v>
      </c>
      <c r="K88" s="28"/>
    </row>
    <row r="89" customFormat="false" ht="15" hidden="false" customHeight="true" outlineLevel="0" collapsed="false">
      <c r="A89" s="27"/>
      <c r="B89" s="28"/>
      <c r="C89" s="28"/>
      <c r="D89" s="28"/>
      <c r="E89" s="28"/>
      <c r="F89" s="28"/>
      <c r="G89" s="29"/>
      <c r="H89" s="29"/>
      <c r="I89" s="20" t="n">
        <f aca="false">IFERROR(H89-G89,0)</f>
        <v>0</v>
      </c>
      <c r="J89" s="21" t="n">
        <f aca="false">IFERROR((H89-G89)/H89,0)</f>
        <v>0</v>
      </c>
      <c r="K89" s="28"/>
    </row>
    <row r="90" customFormat="false" ht="15" hidden="false" customHeight="true" outlineLevel="0" collapsed="false">
      <c r="A90" s="27"/>
      <c r="B90" s="28"/>
      <c r="C90" s="28"/>
      <c r="D90" s="28"/>
      <c r="E90" s="28"/>
      <c r="F90" s="28"/>
      <c r="G90" s="29"/>
      <c r="H90" s="29"/>
      <c r="I90" s="20" t="n">
        <f aca="false">IFERROR(H90-G90,0)</f>
        <v>0</v>
      </c>
      <c r="J90" s="21" t="n">
        <f aca="false">IFERROR((H90-G90)/H90,0)</f>
        <v>0</v>
      </c>
      <c r="K90" s="28"/>
    </row>
    <row r="91" customFormat="false" ht="15" hidden="false" customHeight="true" outlineLevel="0" collapsed="false">
      <c r="A91" s="27"/>
      <c r="B91" s="28"/>
      <c r="C91" s="28"/>
      <c r="D91" s="28"/>
      <c r="E91" s="28"/>
      <c r="F91" s="28"/>
      <c r="G91" s="29"/>
      <c r="H91" s="29"/>
      <c r="I91" s="20" t="n">
        <f aca="false">IFERROR(H91-G91,0)</f>
        <v>0</v>
      </c>
      <c r="J91" s="21" t="n">
        <f aca="false">IFERROR((H91-G91)/H91,0)</f>
        <v>0</v>
      </c>
      <c r="K91" s="28"/>
    </row>
    <row r="92" customFormat="false" ht="15" hidden="false" customHeight="true" outlineLevel="0" collapsed="false">
      <c r="A92" s="27"/>
      <c r="B92" s="28"/>
      <c r="C92" s="28"/>
      <c r="D92" s="28"/>
      <c r="E92" s="28"/>
      <c r="F92" s="28"/>
      <c r="G92" s="29"/>
      <c r="H92" s="29"/>
      <c r="I92" s="20" t="n">
        <f aca="false">IFERROR(H92-G92,0)</f>
        <v>0</v>
      </c>
      <c r="J92" s="21" t="n">
        <f aca="false">IFERROR((H92-G92)/H92,0)</f>
        <v>0</v>
      </c>
      <c r="K92" s="28"/>
    </row>
    <row r="93" customFormat="false" ht="15" hidden="false" customHeight="true" outlineLevel="0" collapsed="false">
      <c r="A93" s="27"/>
      <c r="B93" s="28"/>
      <c r="C93" s="28"/>
      <c r="D93" s="28"/>
      <c r="E93" s="28"/>
      <c r="F93" s="28"/>
      <c r="G93" s="29"/>
      <c r="H93" s="29"/>
      <c r="I93" s="20" t="n">
        <f aca="false">IFERROR(H93-G93,0)</f>
        <v>0</v>
      </c>
      <c r="J93" s="21" t="n">
        <f aca="false">IFERROR((H93-G93)/H93,0)</f>
        <v>0</v>
      </c>
      <c r="K93" s="28"/>
    </row>
    <row r="94" customFormat="false" ht="15" hidden="false" customHeight="true" outlineLevel="0" collapsed="false">
      <c r="A94" s="27"/>
      <c r="B94" s="28"/>
      <c r="C94" s="28"/>
      <c r="D94" s="28"/>
      <c r="E94" s="28"/>
      <c r="F94" s="28"/>
      <c r="G94" s="29"/>
      <c r="H94" s="29"/>
      <c r="I94" s="20" t="n">
        <f aca="false">IFERROR(H94-G94,0)</f>
        <v>0</v>
      </c>
      <c r="J94" s="21" t="n">
        <f aca="false">IFERROR((H94-G94)/H94,0)</f>
        <v>0</v>
      </c>
      <c r="K94" s="28"/>
    </row>
    <row r="95" customFormat="false" ht="15" hidden="false" customHeight="true" outlineLevel="0" collapsed="false">
      <c r="A95" s="27"/>
      <c r="B95" s="28"/>
      <c r="C95" s="28"/>
      <c r="D95" s="28"/>
      <c r="E95" s="28"/>
      <c r="F95" s="28"/>
      <c r="G95" s="29"/>
      <c r="H95" s="29"/>
      <c r="I95" s="20" t="n">
        <f aca="false">IFERROR(H95-G95,0)</f>
        <v>0</v>
      </c>
      <c r="J95" s="21" t="n">
        <f aca="false">IFERROR((H95-G95)/H95,0)</f>
        <v>0</v>
      </c>
      <c r="K95" s="28"/>
    </row>
    <row r="96" customFormat="false" ht="15" hidden="false" customHeight="true" outlineLevel="0" collapsed="false">
      <c r="A96" s="27"/>
      <c r="B96" s="28"/>
      <c r="C96" s="28"/>
      <c r="D96" s="28"/>
      <c r="E96" s="28"/>
      <c r="F96" s="28"/>
      <c r="G96" s="29"/>
      <c r="H96" s="29"/>
      <c r="I96" s="20" t="n">
        <f aca="false">IFERROR(H96-G96,0)</f>
        <v>0</v>
      </c>
      <c r="J96" s="21" t="n">
        <f aca="false">IFERROR((H96-G96)/H96,0)</f>
        <v>0</v>
      </c>
      <c r="K96" s="28"/>
    </row>
    <row r="97" customFormat="false" ht="15" hidden="false" customHeight="true" outlineLevel="0" collapsed="false">
      <c r="A97" s="27"/>
      <c r="B97" s="28"/>
      <c r="C97" s="28"/>
      <c r="D97" s="28"/>
      <c r="E97" s="28"/>
      <c r="F97" s="28"/>
      <c r="G97" s="29"/>
      <c r="H97" s="29"/>
      <c r="I97" s="20" t="n">
        <f aca="false">IFERROR(H97-G97,0)</f>
        <v>0</v>
      </c>
      <c r="J97" s="21" t="n">
        <f aca="false">IFERROR((H97-G97)/H97,0)</f>
        <v>0</v>
      </c>
      <c r="K97" s="28"/>
    </row>
    <row r="98" customFormat="false" ht="15" hidden="false" customHeight="true" outlineLevel="0" collapsed="false">
      <c r="A98" s="27"/>
      <c r="B98" s="28"/>
      <c r="C98" s="28"/>
      <c r="D98" s="28"/>
      <c r="E98" s="28"/>
      <c r="F98" s="28"/>
      <c r="G98" s="29"/>
      <c r="H98" s="29"/>
      <c r="I98" s="20" t="n">
        <f aca="false">IFERROR(H98-G98,0)</f>
        <v>0</v>
      </c>
      <c r="J98" s="21" t="n">
        <f aca="false">IFERROR((H98-G98)/H98,0)</f>
        <v>0</v>
      </c>
      <c r="K98" s="28"/>
    </row>
    <row r="99" customFormat="false" ht="15" hidden="false" customHeight="true" outlineLevel="0" collapsed="false">
      <c r="A99" s="27"/>
      <c r="B99" s="28"/>
      <c r="C99" s="28"/>
      <c r="D99" s="28"/>
      <c r="E99" s="28"/>
      <c r="F99" s="28"/>
      <c r="G99" s="29"/>
      <c r="H99" s="29"/>
      <c r="I99" s="20" t="n">
        <f aca="false">IFERROR(H99-G99,0)</f>
        <v>0</v>
      </c>
      <c r="J99" s="21" t="n">
        <f aca="false">IFERROR((H99-G99)/H99,0)</f>
        <v>0</v>
      </c>
      <c r="K99" s="28"/>
    </row>
    <row r="100" customFormat="false" ht="15" hidden="false" customHeight="true" outlineLevel="0" collapsed="false">
      <c r="A100" s="27"/>
      <c r="B100" s="28"/>
      <c r="C100" s="28"/>
      <c r="D100" s="28"/>
      <c r="E100" s="28"/>
      <c r="F100" s="28"/>
      <c r="G100" s="29"/>
      <c r="H100" s="29"/>
      <c r="I100" s="20" t="n">
        <f aca="false">IFERROR(H100-G100,0)</f>
        <v>0</v>
      </c>
      <c r="J100" s="21" t="n">
        <f aca="false">IFERROR((H100-G100)/H100,0)</f>
        <v>0</v>
      </c>
      <c r="K100" s="28"/>
    </row>
    <row r="101" customFormat="false" ht="15" hidden="false" customHeight="true" outlineLevel="0" collapsed="false">
      <c r="A101" s="27"/>
      <c r="B101" s="28"/>
      <c r="C101" s="28"/>
      <c r="D101" s="28"/>
      <c r="E101" s="28"/>
      <c r="F101" s="28"/>
      <c r="G101" s="29"/>
      <c r="H101" s="29"/>
      <c r="I101" s="20" t="n">
        <f aca="false">IFERROR(H101-G101,0)</f>
        <v>0</v>
      </c>
      <c r="J101" s="21" t="n">
        <f aca="false">IFERROR((H101-G101)/H101,0)</f>
        <v>0</v>
      </c>
      <c r="K101" s="28"/>
    </row>
    <row r="102" customFormat="false" ht="15" hidden="false" customHeight="true" outlineLevel="0" collapsed="false">
      <c r="A102" s="27"/>
      <c r="B102" s="28"/>
      <c r="C102" s="28"/>
      <c r="D102" s="28"/>
      <c r="E102" s="28"/>
      <c r="F102" s="28"/>
      <c r="G102" s="29"/>
      <c r="H102" s="29"/>
      <c r="I102" s="20" t="n">
        <f aca="false">IFERROR(H102-G102,0)</f>
        <v>0</v>
      </c>
      <c r="J102" s="21" t="n">
        <f aca="false">IFERROR((H102-G102)/H102,0)</f>
        <v>0</v>
      </c>
      <c r="K102" s="28"/>
    </row>
    <row r="103" customFormat="false" ht="15" hidden="false" customHeight="true" outlineLevel="0" collapsed="false">
      <c r="A103" s="27"/>
      <c r="B103" s="28"/>
      <c r="C103" s="28"/>
      <c r="D103" s="28"/>
      <c r="E103" s="28"/>
      <c r="F103" s="28"/>
      <c r="G103" s="29"/>
      <c r="H103" s="29"/>
      <c r="I103" s="20" t="n">
        <f aca="false">IFERROR(H103-G103,0)</f>
        <v>0</v>
      </c>
      <c r="J103" s="21" t="n">
        <f aca="false">IFERROR((H103-G103)/H103,0)</f>
        <v>0</v>
      </c>
      <c r="K103" s="28"/>
    </row>
    <row r="104" customFormat="false" ht="15" hidden="false" customHeight="true" outlineLevel="0" collapsed="false">
      <c r="A104" s="27"/>
      <c r="B104" s="28"/>
      <c r="C104" s="28"/>
      <c r="D104" s="28"/>
      <c r="E104" s="28"/>
      <c r="F104" s="28"/>
      <c r="G104" s="29"/>
      <c r="H104" s="29"/>
      <c r="I104" s="20" t="n">
        <f aca="false">IFERROR(H104-G104,0)</f>
        <v>0</v>
      </c>
      <c r="J104" s="21" t="n">
        <f aca="false">IFERROR((H104-G104)/H104,0)</f>
        <v>0</v>
      </c>
      <c r="K104" s="28"/>
    </row>
    <row r="105" customFormat="false" ht="15" hidden="false" customHeight="true" outlineLevel="0" collapsed="false">
      <c r="A105" s="27"/>
      <c r="B105" s="28"/>
      <c r="C105" s="28"/>
      <c r="D105" s="28"/>
      <c r="E105" s="28"/>
      <c r="F105" s="28"/>
      <c r="G105" s="29"/>
      <c r="H105" s="29"/>
      <c r="I105" s="20" t="n">
        <f aca="false">IFERROR(H105-G105,0)</f>
        <v>0</v>
      </c>
      <c r="J105" s="21" t="n">
        <f aca="false">IFERROR((H105-G105)/H105,0)</f>
        <v>0</v>
      </c>
      <c r="K105" s="28"/>
    </row>
    <row r="106" customFormat="false" ht="15" hidden="false" customHeight="true" outlineLevel="0" collapsed="false">
      <c r="A106" s="27"/>
      <c r="B106" s="28"/>
      <c r="C106" s="28"/>
      <c r="D106" s="28"/>
      <c r="E106" s="28"/>
      <c r="F106" s="28"/>
      <c r="G106" s="29"/>
      <c r="H106" s="29"/>
      <c r="I106" s="20" t="n">
        <f aca="false">IFERROR(H106-G106,0)</f>
        <v>0</v>
      </c>
      <c r="J106" s="21" t="n">
        <f aca="false">IFERROR((H106-G106)/H106,0)</f>
        <v>0</v>
      </c>
      <c r="K106" s="28"/>
    </row>
    <row r="107" customFormat="false" ht="15" hidden="false" customHeight="true" outlineLevel="0" collapsed="false">
      <c r="A107" s="27"/>
      <c r="B107" s="28"/>
      <c r="C107" s="28"/>
      <c r="D107" s="28"/>
      <c r="E107" s="28"/>
      <c r="F107" s="28"/>
      <c r="G107" s="29"/>
      <c r="H107" s="29"/>
      <c r="I107" s="20" t="n">
        <f aca="false">IFERROR(H107-G107,0)</f>
        <v>0</v>
      </c>
      <c r="J107" s="21" t="n">
        <f aca="false">IFERROR((H107-G107)/H107,0)</f>
        <v>0</v>
      </c>
      <c r="K107" s="28"/>
    </row>
    <row r="108" customFormat="false" ht="15" hidden="false" customHeight="true" outlineLevel="0" collapsed="false">
      <c r="A108" s="27"/>
      <c r="B108" s="28"/>
      <c r="C108" s="28"/>
      <c r="D108" s="28"/>
      <c r="E108" s="28"/>
      <c r="F108" s="28"/>
      <c r="G108" s="29"/>
      <c r="H108" s="29"/>
      <c r="I108" s="20" t="n">
        <f aca="false">IFERROR(H108-G108,0)</f>
        <v>0</v>
      </c>
      <c r="J108" s="21" t="n">
        <f aca="false">IFERROR((H108-G108)/H108,0)</f>
        <v>0</v>
      </c>
      <c r="K108" s="28"/>
    </row>
    <row r="109" customFormat="false" ht="15" hidden="false" customHeight="true" outlineLevel="0" collapsed="false">
      <c r="A109" s="27"/>
      <c r="B109" s="28"/>
      <c r="C109" s="28"/>
      <c r="D109" s="28"/>
      <c r="E109" s="28"/>
      <c r="F109" s="28"/>
      <c r="G109" s="29"/>
      <c r="H109" s="29"/>
      <c r="I109" s="20" t="n">
        <f aca="false">IFERROR(H109-G109,0)</f>
        <v>0</v>
      </c>
      <c r="J109" s="21" t="n">
        <f aca="false">IFERROR((H109-G109)/H109,0)</f>
        <v>0</v>
      </c>
      <c r="K109" s="28"/>
    </row>
    <row r="110" customFormat="false" ht="15" hidden="false" customHeight="true" outlineLevel="0" collapsed="false">
      <c r="A110" s="27"/>
      <c r="B110" s="28"/>
      <c r="C110" s="28"/>
      <c r="D110" s="28"/>
      <c r="E110" s="28"/>
      <c r="F110" s="28"/>
      <c r="G110" s="29"/>
      <c r="H110" s="29"/>
      <c r="I110" s="20" t="n">
        <f aca="false">IFERROR(H110-G110,0)</f>
        <v>0</v>
      </c>
      <c r="J110" s="21" t="n">
        <f aca="false">IFERROR((H110-G110)/H110,0)</f>
        <v>0</v>
      </c>
      <c r="K110" s="28"/>
    </row>
    <row r="111" customFormat="false" ht="15" hidden="false" customHeight="true" outlineLevel="0" collapsed="false">
      <c r="A111" s="27"/>
      <c r="B111" s="28"/>
      <c r="C111" s="28"/>
      <c r="D111" s="28"/>
      <c r="E111" s="28"/>
      <c r="F111" s="28"/>
      <c r="G111" s="29"/>
      <c r="H111" s="29"/>
      <c r="I111" s="20" t="n">
        <f aca="false">IFERROR(H111-G111,0)</f>
        <v>0</v>
      </c>
      <c r="J111" s="21" t="n">
        <f aca="false">IFERROR((H111-G111)/H111,0)</f>
        <v>0</v>
      </c>
      <c r="K111" s="28"/>
    </row>
    <row r="112" customFormat="false" ht="15" hidden="false" customHeight="true" outlineLevel="0" collapsed="false">
      <c r="A112" s="27"/>
      <c r="B112" s="28"/>
      <c r="C112" s="28"/>
      <c r="D112" s="28"/>
      <c r="E112" s="28"/>
      <c r="F112" s="28"/>
      <c r="G112" s="29"/>
      <c r="H112" s="29"/>
      <c r="I112" s="20" t="n">
        <f aca="false">IFERROR(H112-G112,0)</f>
        <v>0</v>
      </c>
      <c r="J112" s="21" t="n">
        <f aca="false">IFERROR((H112-G112)/H112,0)</f>
        <v>0</v>
      </c>
      <c r="K112" s="28"/>
    </row>
    <row r="113" customFormat="false" ht="15" hidden="false" customHeight="true" outlineLevel="0" collapsed="false">
      <c r="A113" s="27"/>
      <c r="B113" s="28"/>
      <c r="C113" s="28"/>
      <c r="D113" s="28"/>
      <c r="E113" s="28"/>
      <c r="F113" s="28"/>
      <c r="G113" s="29"/>
      <c r="H113" s="29"/>
      <c r="I113" s="20" t="n">
        <f aca="false">IFERROR(H113-G113,0)</f>
        <v>0</v>
      </c>
      <c r="J113" s="21" t="n">
        <f aca="false">IFERROR((H113-G113)/H113,0)</f>
        <v>0</v>
      </c>
      <c r="K113" s="28"/>
    </row>
    <row r="114" customFormat="false" ht="15" hidden="false" customHeight="true" outlineLevel="0" collapsed="false">
      <c r="A114" s="27"/>
      <c r="B114" s="28"/>
      <c r="C114" s="28"/>
      <c r="D114" s="28"/>
      <c r="E114" s="28"/>
      <c r="F114" s="28"/>
      <c r="G114" s="29"/>
      <c r="H114" s="29"/>
      <c r="I114" s="20" t="n">
        <f aca="false">IFERROR(H114-G114,0)</f>
        <v>0</v>
      </c>
      <c r="J114" s="21" t="n">
        <f aca="false">IFERROR((H114-G114)/H114,0)</f>
        <v>0</v>
      </c>
      <c r="K114" s="28"/>
    </row>
    <row r="115" customFormat="false" ht="15" hidden="false" customHeight="true" outlineLevel="0" collapsed="false">
      <c r="A115" s="27"/>
      <c r="B115" s="28"/>
      <c r="C115" s="28"/>
      <c r="D115" s="28"/>
      <c r="E115" s="28"/>
      <c r="F115" s="28"/>
      <c r="G115" s="29"/>
      <c r="H115" s="29"/>
      <c r="I115" s="20" t="n">
        <f aca="false">IFERROR(H115-G115,0)</f>
        <v>0</v>
      </c>
      <c r="J115" s="21" t="n">
        <f aca="false">IFERROR((H115-G115)/H115,0)</f>
        <v>0</v>
      </c>
      <c r="K115" s="28"/>
    </row>
    <row r="116" customFormat="false" ht="15" hidden="false" customHeight="true" outlineLevel="0" collapsed="false">
      <c r="A116" s="27"/>
      <c r="B116" s="28"/>
      <c r="C116" s="28"/>
      <c r="D116" s="28"/>
      <c r="E116" s="28"/>
      <c r="F116" s="28"/>
      <c r="G116" s="29"/>
      <c r="H116" s="29"/>
      <c r="I116" s="20" t="n">
        <f aca="false">IFERROR(H116-G116,0)</f>
        <v>0</v>
      </c>
      <c r="J116" s="21" t="n">
        <f aca="false">IFERROR((H116-G116)/H116,0)</f>
        <v>0</v>
      </c>
      <c r="K116" s="28"/>
    </row>
    <row r="117" customFormat="false" ht="15" hidden="false" customHeight="true" outlineLevel="0" collapsed="false">
      <c r="A117" s="27"/>
      <c r="B117" s="28"/>
      <c r="C117" s="28"/>
      <c r="D117" s="28"/>
      <c r="E117" s="28"/>
      <c r="F117" s="28"/>
      <c r="G117" s="29"/>
      <c r="H117" s="29"/>
      <c r="I117" s="20" t="n">
        <f aca="false">IFERROR(H117-G117,0)</f>
        <v>0</v>
      </c>
      <c r="J117" s="21" t="n">
        <f aca="false">IFERROR((H117-G117)/H117,0)</f>
        <v>0</v>
      </c>
      <c r="K117" s="28"/>
    </row>
    <row r="118" customFormat="false" ht="15" hidden="false" customHeight="true" outlineLevel="0" collapsed="false">
      <c r="A118" s="27"/>
      <c r="B118" s="28"/>
      <c r="C118" s="28"/>
      <c r="D118" s="28"/>
      <c r="E118" s="28"/>
      <c r="F118" s="28"/>
      <c r="G118" s="29"/>
      <c r="H118" s="29"/>
      <c r="I118" s="20" t="n">
        <f aca="false">IFERROR(H118-G118,0)</f>
        <v>0</v>
      </c>
      <c r="J118" s="21" t="n">
        <f aca="false">IFERROR((H118-G118)/H118,0)</f>
        <v>0</v>
      </c>
      <c r="K118" s="28"/>
    </row>
    <row r="119" customFormat="false" ht="15" hidden="false" customHeight="true" outlineLevel="0" collapsed="false">
      <c r="A119" s="27"/>
      <c r="B119" s="28"/>
      <c r="C119" s="28"/>
      <c r="D119" s="28"/>
      <c r="E119" s="28"/>
      <c r="F119" s="28"/>
      <c r="G119" s="29"/>
      <c r="H119" s="29"/>
      <c r="I119" s="20" t="n">
        <f aca="false">IFERROR(H119-G119,0)</f>
        <v>0</v>
      </c>
      <c r="J119" s="21" t="n">
        <f aca="false">IFERROR((H119-G119)/H119,0)</f>
        <v>0</v>
      </c>
      <c r="K119" s="28"/>
    </row>
    <row r="120" customFormat="false" ht="15" hidden="false" customHeight="true" outlineLevel="0" collapsed="false">
      <c r="A120" s="27"/>
      <c r="B120" s="28"/>
      <c r="C120" s="28"/>
      <c r="D120" s="28"/>
      <c r="E120" s="28"/>
      <c r="F120" s="28"/>
      <c r="G120" s="29"/>
      <c r="H120" s="29"/>
      <c r="I120" s="20" t="n">
        <f aca="false">IFERROR(H120-G120,0)</f>
        <v>0</v>
      </c>
      <c r="J120" s="21" t="n">
        <f aca="false">IFERROR((H120-G120)/H120,0)</f>
        <v>0</v>
      </c>
      <c r="K120" s="28"/>
    </row>
    <row r="121" customFormat="false" ht="15" hidden="false" customHeight="true" outlineLevel="0" collapsed="false">
      <c r="A121" s="27"/>
      <c r="B121" s="28"/>
      <c r="C121" s="28"/>
      <c r="D121" s="28"/>
      <c r="E121" s="28"/>
      <c r="F121" s="28"/>
      <c r="G121" s="29"/>
      <c r="H121" s="29"/>
      <c r="I121" s="20" t="n">
        <f aca="false">IFERROR(H121-G121,0)</f>
        <v>0</v>
      </c>
      <c r="J121" s="21" t="n">
        <f aca="false">IFERROR((H121-G121)/H121,0)</f>
        <v>0</v>
      </c>
      <c r="K121" s="28"/>
    </row>
    <row r="122" customFormat="false" ht="15" hidden="false" customHeight="true" outlineLevel="0" collapsed="false">
      <c r="A122" s="27"/>
      <c r="B122" s="28"/>
      <c r="C122" s="28"/>
      <c r="D122" s="28"/>
      <c r="E122" s="28"/>
      <c r="F122" s="28"/>
      <c r="G122" s="29"/>
      <c r="H122" s="29"/>
      <c r="I122" s="20" t="n">
        <f aca="false">IFERROR(H122-G122,0)</f>
        <v>0</v>
      </c>
      <c r="J122" s="21" t="n">
        <f aca="false">IFERROR((H122-G122)/H122,0)</f>
        <v>0</v>
      </c>
      <c r="K122" s="28"/>
    </row>
    <row r="123" customFormat="false" ht="15" hidden="false" customHeight="true" outlineLevel="0" collapsed="false">
      <c r="A123" s="27"/>
      <c r="B123" s="28"/>
      <c r="C123" s="28"/>
      <c r="D123" s="28"/>
      <c r="E123" s="28"/>
      <c r="F123" s="28"/>
      <c r="G123" s="29"/>
      <c r="H123" s="29"/>
      <c r="I123" s="20" t="n">
        <f aca="false">IFERROR(H123-G123,0)</f>
        <v>0</v>
      </c>
      <c r="J123" s="21" t="n">
        <f aca="false">IFERROR((H123-G123)/H123,0)</f>
        <v>0</v>
      </c>
      <c r="K123" s="28"/>
    </row>
    <row r="124" customFormat="false" ht="15" hidden="false" customHeight="true" outlineLevel="0" collapsed="false">
      <c r="A124" s="27"/>
      <c r="B124" s="28"/>
      <c r="C124" s="28"/>
      <c r="D124" s="28"/>
      <c r="E124" s="28"/>
      <c r="F124" s="28"/>
      <c r="G124" s="29"/>
      <c r="H124" s="29"/>
      <c r="I124" s="20" t="n">
        <f aca="false">IFERROR(H124-G124,0)</f>
        <v>0</v>
      </c>
      <c r="J124" s="21" t="n">
        <f aca="false">IFERROR((H124-G124)/H124,0)</f>
        <v>0</v>
      </c>
      <c r="K124" s="28"/>
    </row>
    <row r="125" customFormat="false" ht="15" hidden="false" customHeight="true" outlineLevel="0" collapsed="false">
      <c r="A125" s="27"/>
      <c r="B125" s="28"/>
      <c r="C125" s="28"/>
      <c r="D125" s="28"/>
      <c r="E125" s="28"/>
      <c r="F125" s="28"/>
      <c r="G125" s="29"/>
      <c r="H125" s="29"/>
      <c r="I125" s="20" t="n">
        <f aca="false">IFERROR(H125-G125,0)</f>
        <v>0</v>
      </c>
      <c r="J125" s="21" t="n">
        <f aca="false">IFERROR((H125-G125)/H125,0)</f>
        <v>0</v>
      </c>
      <c r="K125" s="28"/>
    </row>
    <row r="126" customFormat="false" ht="15" hidden="false" customHeight="true" outlineLevel="0" collapsed="false">
      <c r="A126" s="27"/>
      <c r="B126" s="28"/>
      <c r="C126" s="28"/>
      <c r="D126" s="28"/>
      <c r="E126" s="28"/>
      <c r="F126" s="28"/>
      <c r="G126" s="29"/>
      <c r="H126" s="29"/>
      <c r="I126" s="20" t="n">
        <f aca="false">IFERROR(H126-G126,0)</f>
        <v>0</v>
      </c>
      <c r="J126" s="21" t="n">
        <f aca="false">IFERROR((H126-G126)/H126,0)</f>
        <v>0</v>
      </c>
      <c r="K126" s="28"/>
    </row>
    <row r="127" customFormat="false" ht="15" hidden="false" customHeight="true" outlineLevel="0" collapsed="false">
      <c r="A127" s="27"/>
      <c r="B127" s="28"/>
      <c r="C127" s="28"/>
      <c r="D127" s="28"/>
      <c r="E127" s="28"/>
      <c r="F127" s="28"/>
      <c r="G127" s="29"/>
      <c r="H127" s="29"/>
      <c r="I127" s="20" t="n">
        <f aca="false">IFERROR(H127-G127,0)</f>
        <v>0</v>
      </c>
      <c r="J127" s="21" t="n">
        <f aca="false">IFERROR((H127-G127)/H127,0)</f>
        <v>0</v>
      </c>
      <c r="K127" s="28"/>
    </row>
    <row r="128" customFormat="false" ht="15" hidden="false" customHeight="true" outlineLevel="0" collapsed="false">
      <c r="A128" s="27"/>
      <c r="B128" s="28"/>
      <c r="C128" s="28"/>
      <c r="D128" s="28"/>
      <c r="E128" s="28"/>
      <c r="F128" s="28"/>
      <c r="G128" s="29"/>
      <c r="H128" s="29"/>
      <c r="I128" s="20" t="n">
        <f aca="false">IFERROR(H128-G128,0)</f>
        <v>0</v>
      </c>
      <c r="J128" s="21" t="n">
        <f aca="false">IFERROR((H128-G128)/H128,0)</f>
        <v>0</v>
      </c>
      <c r="K128" s="28"/>
    </row>
    <row r="129" customFormat="false" ht="15" hidden="false" customHeight="true" outlineLevel="0" collapsed="false">
      <c r="A129" s="27"/>
      <c r="B129" s="28"/>
      <c r="C129" s="28"/>
      <c r="D129" s="28"/>
      <c r="E129" s="28"/>
      <c r="F129" s="28"/>
      <c r="G129" s="29"/>
      <c r="H129" s="29"/>
      <c r="I129" s="20" t="n">
        <f aca="false">IFERROR(H129-G129,0)</f>
        <v>0</v>
      </c>
      <c r="J129" s="21" t="n">
        <f aca="false">IFERROR((H129-G129)/H129,0)</f>
        <v>0</v>
      </c>
      <c r="K129" s="28"/>
    </row>
    <row r="130" customFormat="false" ht="15" hidden="false" customHeight="true" outlineLevel="0" collapsed="false">
      <c r="A130" s="27"/>
      <c r="B130" s="28"/>
      <c r="C130" s="28"/>
      <c r="D130" s="28"/>
      <c r="E130" s="28"/>
      <c r="F130" s="28"/>
      <c r="G130" s="29"/>
      <c r="H130" s="29"/>
      <c r="I130" s="20" t="n">
        <f aca="false">IFERROR(H130-G130,0)</f>
        <v>0</v>
      </c>
      <c r="J130" s="21" t="n">
        <f aca="false">IFERROR((H130-G130)/H130,0)</f>
        <v>0</v>
      </c>
      <c r="K130" s="28"/>
    </row>
    <row r="131" customFormat="false" ht="15" hidden="false" customHeight="true" outlineLevel="0" collapsed="false">
      <c r="A131" s="27"/>
      <c r="B131" s="28"/>
      <c r="C131" s="28"/>
      <c r="D131" s="28"/>
      <c r="E131" s="28"/>
      <c r="F131" s="28"/>
      <c r="G131" s="29"/>
      <c r="H131" s="29"/>
      <c r="I131" s="20" t="n">
        <f aca="false">IFERROR(H131-G131,0)</f>
        <v>0</v>
      </c>
      <c r="J131" s="21" t="n">
        <f aca="false">IFERROR((H131-G131)/H131,0)</f>
        <v>0</v>
      </c>
      <c r="K131" s="28"/>
    </row>
    <row r="132" customFormat="false" ht="15" hidden="false" customHeight="true" outlineLevel="0" collapsed="false">
      <c r="A132" s="27"/>
      <c r="B132" s="28"/>
      <c r="C132" s="28"/>
      <c r="D132" s="28"/>
      <c r="E132" s="28"/>
      <c r="F132" s="28"/>
      <c r="G132" s="29"/>
      <c r="H132" s="29"/>
      <c r="I132" s="20" t="n">
        <f aca="false">IFERROR(H132-G132,0)</f>
        <v>0</v>
      </c>
      <c r="J132" s="21" t="n">
        <f aca="false">IFERROR((H132-G132)/H132,0)</f>
        <v>0</v>
      </c>
      <c r="K132" s="28"/>
    </row>
    <row r="133" customFormat="false" ht="15" hidden="false" customHeight="true" outlineLevel="0" collapsed="false">
      <c r="A133" s="27"/>
      <c r="B133" s="28"/>
      <c r="C133" s="28"/>
      <c r="D133" s="28"/>
      <c r="E133" s="28"/>
      <c r="F133" s="28"/>
      <c r="G133" s="29"/>
      <c r="H133" s="29"/>
      <c r="I133" s="20" t="n">
        <f aca="false">IFERROR(H133-G133,0)</f>
        <v>0</v>
      </c>
      <c r="J133" s="21" t="n">
        <f aca="false">IFERROR((H133-G133)/H133,0)</f>
        <v>0</v>
      </c>
      <c r="K133" s="28"/>
    </row>
    <row r="134" customFormat="false" ht="15" hidden="false" customHeight="true" outlineLevel="0" collapsed="false">
      <c r="A134" s="27"/>
      <c r="B134" s="28"/>
      <c r="C134" s="28"/>
      <c r="D134" s="28"/>
      <c r="E134" s="28"/>
      <c r="F134" s="28"/>
      <c r="G134" s="29"/>
      <c r="H134" s="29"/>
      <c r="I134" s="20" t="n">
        <f aca="false">IFERROR(H134-G134,0)</f>
        <v>0</v>
      </c>
      <c r="J134" s="21" t="n">
        <f aca="false">IFERROR((H134-G134)/H134,0)</f>
        <v>0</v>
      </c>
      <c r="K134" s="28"/>
    </row>
    <row r="135" customFormat="false" ht="15" hidden="false" customHeight="true" outlineLevel="0" collapsed="false">
      <c r="A135" s="27"/>
      <c r="B135" s="28"/>
      <c r="C135" s="28"/>
      <c r="D135" s="28"/>
      <c r="E135" s="28"/>
      <c r="F135" s="28"/>
      <c r="G135" s="29"/>
      <c r="H135" s="29"/>
      <c r="I135" s="20" t="n">
        <f aca="false">IFERROR(H135-G135,0)</f>
        <v>0</v>
      </c>
      <c r="J135" s="21" t="n">
        <f aca="false">IFERROR((H135-G135)/H135,0)</f>
        <v>0</v>
      </c>
      <c r="K135" s="28"/>
    </row>
    <row r="136" customFormat="false" ht="15" hidden="false" customHeight="true" outlineLevel="0" collapsed="false">
      <c r="A136" s="27"/>
      <c r="B136" s="28"/>
      <c r="C136" s="28"/>
      <c r="D136" s="28"/>
      <c r="E136" s="28"/>
      <c r="F136" s="28"/>
      <c r="G136" s="29"/>
      <c r="H136" s="29"/>
      <c r="I136" s="20" t="n">
        <f aca="false">IFERROR(H136-G136,0)</f>
        <v>0</v>
      </c>
      <c r="J136" s="21" t="n">
        <f aca="false">IFERROR((H136-G136)/H136,0)</f>
        <v>0</v>
      </c>
      <c r="K136" s="28"/>
    </row>
    <row r="137" customFormat="false" ht="15" hidden="false" customHeight="true" outlineLevel="0" collapsed="false">
      <c r="A137" s="27"/>
      <c r="B137" s="28"/>
      <c r="C137" s="28"/>
      <c r="D137" s="28"/>
      <c r="E137" s="28"/>
      <c r="F137" s="28"/>
      <c r="G137" s="29"/>
      <c r="H137" s="29"/>
      <c r="I137" s="20" t="n">
        <f aca="false">IFERROR(H137-G137,0)</f>
        <v>0</v>
      </c>
      <c r="J137" s="21" t="n">
        <f aca="false">IFERROR((H137-G137)/H137,0)</f>
        <v>0</v>
      </c>
      <c r="K137" s="28"/>
    </row>
    <row r="138" customFormat="false" ht="15" hidden="false" customHeight="true" outlineLevel="0" collapsed="false">
      <c r="A138" s="27"/>
      <c r="B138" s="28"/>
      <c r="C138" s="28"/>
      <c r="D138" s="28"/>
      <c r="E138" s="28"/>
      <c r="F138" s="28"/>
      <c r="G138" s="29"/>
      <c r="H138" s="29"/>
      <c r="I138" s="20" t="n">
        <f aca="false">IFERROR(H138-G138,0)</f>
        <v>0</v>
      </c>
      <c r="J138" s="21" t="n">
        <f aca="false">IFERROR((H138-G138)/H138,0)</f>
        <v>0</v>
      </c>
      <c r="K138" s="28"/>
    </row>
    <row r="139" customFormat="false" ht="15" hidden="false" customHeight="true" outlineLevel="0" collapsed="false">
      <c r="A139" s="27"/>
      <c r="B139" s="28"/>
      <c r="C139" s="28"/>
      <c r="D139" s="28"/>
      <c r="E139" s="28"/>
      <c r="F139" s="28"/>
      <c r="G139" s="29"/>
      <c r="H139" s="29"/>
      <c r="I139" s="20" t="n">
        <f aca="false">IFERROR(H139-G139,0)</f>
        <v>0</v>
      </c>
      <c r="J139" s="21" t="n">
        <f aca="false">IFERROR((H139-G139)/H139,0)</f>
        <v>0</v>
      </c>
      <c r="K139" s="28"/>
    </row>
    <row r="140" customFormat="false" ht="15" hidden="false" customHeight="true" outlineLevel="0" collapsed="false">
      <c r="A140" s="27"/>
      <c r="B140" s="28"/>
      <c r="C140" s="28"/>
      <c r="D140" s="28"/>
      <c r="E140" s="28"/>
      <c r="F140" s="28"/>
      <c r="G140" s="29"/>
      <c r="H140" s="29"/>
      <c r="I140" s="20" t="n">
        <f aca="false">IFERROR(H140-G140,0)</f>
        <v>0</v>
      </c>
      <c r="J140" s="21" t="n">
        <f aca="false">IFERROR((H140-G140)/H140,0)</f>
        <v>0</v>
      </c>
      <c r="K140" s="28"/>
    </row>
    <row r="141" customFormat="false" ht="15" hidden="false" customHeight="true" outlineLevel="0" collapsed="false">
      <c r="A141" s="27"/>
      <c r="B141" s="28"/>
      <c r="C141" s="28"/>
      <c r="D141" s="28"/>
      <c r="E141" s="28"/>
      <c r="F141" s="28"/>
      <c r="G141" s="29"/>
      <c r="H141" s="29"/>
      <c r="I141" s="20" t="n">
        <f aca="false">IFERROR(H141-G141,0)</f>
        <v>0</v>
      </c>
      <c r="J141" s="21" t="n">
        <f aca="false">IFERROR((H141-G141)/H141,0)</f>
        <v>0</v>
      </c>
      <c r="K141" s="28"/>
    </row>
    <row r="142" customFormat="false" ht="15" hidden="false" customHeight="true" outlineLevel="0" collapsed="false">
      <c r="A142" s="27"/>
      <c r="B142" s="28"/>
      <c r="C142" s="28"/>
      <c r="D142" s="28"/>
      <c r="E142" s="28"/>
      <c r="F142" s="28"/>
      <c r="G142" s="29"/>
      <c r="H142" s="29"/>
      <c r="I142" s="20" t="n">
        <f aca="false">IFERROR(H142-G142,0)</f>
        <v>0</v>
      </c>
      <c r="J142" s="21" t="n">
        <f aca="false">IFERROR((H142-G142)/H142,0)</f>
        <v>0</v>
      </c>
      <c r="K142" s="28"/>
    </row>
    <row r="143" customFormat="false" ht="15" hidden="false" customHeight="true" outlineLevel="0" collapsed="false">
      <c r="A143" s="27"/>
      <c r="B143" s="28"/>
      <c r="C143" s="28"/>
      <c r="D143" s="28"/>
      <c r="E143" s="28"/>
      <c r="F143" s="28"/>
      <c r="G143" s="29"/>
      <c r="H143" s="29"/>
      <c r="I143" s="20" t="n">
        <f aca="false">IFERROR(H143-G143,0)</f>
        <v>0</v>
      </c>
      <c r="J143" s="21" t="n">
        <f aca="false">IFERROR((H143-G143)/H143,0)</f>
        <v>0</v>
      </c>
      <c r="K143" s="28"/>
    </row>
    <row r="144" customFormat="false" ht="15" hidden="false" customHeight="true" outlineLevel="0" collapsed="false">
      <c r="A144" s="27"/>
      <c r="B144" s="28"/>
      <c r="C144" s="28"/>
      <c r="D144" s="28"/>
      <c r="E144" s="28"/>
      <c r="F144" s="28"/>
      <c r="G144" s="29"/>
      <c r="H144" s="29"/>
      <c r="I144" s="20" t="n">
        <f aca="false">IFERROR(H144-G144,0)</f>
        <v>0</v>
      </c>
      <c r="J144" s="21" t="n">
        <f aca="false">IFERROR((H144-G144)/H144,0)</f>
        <v>0</v>
      </c>
      <c r="K144" s="28"/>
    </row>
    <row r="145" customFormat="false" ht="15" hidden="false" customHeight="true" outlineLevel="0" collapsed="false">
      <c r="A145" s="27"/>
      <c r="B145" s="28"/>
      <c r="C145" s="28"/>
      <c r="D145" s="28"/>
      <c r="E145" s="28"/>
      <c r="F145" s="28"/>
      <c r="G145" s="29"/>
      <c r="H145" s="29"/>
      <c r="I145" s="20" t="n">
        <f aca="false">IFERROR(H145-G145,0)</f>
        <v>0</v>
      </c>
      <c r="J145" s="21" t="n">
        <f aca="false">IFERROR((H145-G145)/H145,0)</f>
        <v>0</v>
      </c>
      <c r="K145" s="28"/>
    </row>
    <row r="146" customFormat="false" ht="15" hidden="false" customHeight="true" outlineLevel="0" collapsed="false">
      <c r="A146" s="27"/>
      <c r="B146" s="28"/>
      <c r="C146" s="28"/>
      <c r="D146" s="28"/>
      <c r="E146" s="28"/>
      <c r="F146" s="28"/>
      <c r="G146" s="29"/>
      <c r="H146" s="29"/>
      <c r="I146" s="20" t="n">
        <f aca="false">IFERROR(H146-G146,0)</f>
        <v>0</v>
      </c>
      <c r="J146" s="21" t="n">
        <f aca="false">IFERROR((H146-G146)/H146,0)</f>
        <v>0</v>
      </c>
      <c r="K146" s="28"/>
    </row>
    <row r="147" customFormat="false" ht="15" hidden="false" customHeight="true" outlineLevel="0" collapsed="false">
      <c r="A147" s="27"/>
      <c r="B147" s="28"/>
      <c r="C147" s="28"/>
      <c r="D147" s="28"/>
      <c r="E147" s="28"/>
      <c r="F147" s="28"/>
      <c r="G147" s="29"/>
      <c r="H147" s="29"/>
      <c r="I147" s="20" t="n">
        <f aca="false">IFERROR(H147-G147,0)</f>
        <v>0</v>
      </c>
      <c r="J147" s="21" t="n">
        <f aca="false">IFERROR((H147-G147)/H147,0)</f>
        <v>0</v>
      </c>
      <c r="K147" s="28"/>
    </row>
    <row r="148" customFormat="false" ht="15" hidden="false" customHeight="true" outlineLevel="0" collapsed="false">
      <c r="A148" s="27"/>
      <c r="B148" s="28"/>
      <c r="C148" s="28"/>
      <c r="D148" s="28"/>
      <c r="E148" s="28"/>
      <c r="F148" s="28"/>
      <c r="G148" s="29"/>
      <c r="H148" s="29"/>
      <c r="I148" s="20" t="n">
        <f aca="false">IFERROR(H148-G148,0)</f>
        <v>0</v>
      </c>
      <c r="J148" s="21" t="n">
        <f aca="false">IFERROR((H148-G148)/H148,0)</f>
        <v>0</v>
      </c>
      <c r="K148" s="28"/>
    </row>
    <row r="149" customFormat="false" ht="15" hidden="false" customHeight="true" outlineLevel="0" collapsed="false">
      <c r="A149" s="27"/>
      <c r="B149" s="28"/>
      <c r="C149" s="28"/>
      <c r="D149" s="28"/>
      <c r="E149" s="28"/>
      <c r="F149" s="28"/>
      <c r="G149" s="29"/>
      <c r="H149" s="29"/>
      <c r="I149" s="20" t="n">
        <f aca="false">IFERROR(H149-G149,0)</f>
        <v>0</v>
      </c>
      <c r="J149" s="21" t="n">
        <f aca="false">IFERROR((H149-G149)/H149,0)</f>
        <v>0</v>
      </c>
      <c r="K149" s="28"/>
    </row>
    <row r="150" customFormat="false" ht="15" hidden="false" customHeight="true" outlineLevel="0" collapsed="false">
      <c r="A150" s="27"/>
      <c r="B150" s="28"/>
      <c r="C150" s="28"/>
      <c r="D150" s="28"/>
      <c r="E150" s="28"/>
      <c r="F150" s="28"/>
      <c r="G150" s="29"/>
      <c r="H150" s="29"/>
      <c r="I150" s="20" t="n">
        <f aca="false">IFERROR(H150-G150,0)</f>
        <v>0</v>
      </c>
      <c r="J150" s="21" t="n">
        <f aca="false">IFERROR((H150-G150)/H150,0)</f>
        <v>0</v>
      </c>
      <c r="K150" s="28"/>
    </row>
    <row r="151" customFormat="false" ht="15" hidden="false" customHeight="true" outlineLevel="0" collapsed="false">
      <c r="A151" s="27"/>
      <c r="B151" s="28"/>
      <c r="C151" s="28"/>
      <c r="D151" s="28"/>
      <c r="E151" s="28"/>
      <c r="F151" s="28"/>
      <c r="G151" s="29"/>
      <c r="H151" s="29"/>
      <c r="I151" s="20" t="n">
        <f aca="false">IFERROR(H151-G151,0)</f>
        <v>0</v>
      </c>
      <c r="J151" s="21" t="n">
        <f aca="false">IFERROR((H151-G151)/H151,0)</f>
        <v>0</v>
      </c>
      <c r="K151" s="28"/>
    </row>
    <row r="152" customFormat="false" ht="15" hidden="false" customHeight="true" outlineLevel="0" collapsed="false">
      <c r="A152" s="27"/>
      <c r="B152" s="28"/>
      <c r="C152" s="28"/>
      <c r="D152" s="28"/>
      <c r="E152" s="28"/>
      <c r="F152" s="28"/>
      <c r="G152" s="29"/>
      <c r="H152" s="29"/>
      <c r="I152" s="20" t="n">
        <f aca="false">IFERROR(H152-G152,0)</f>
        <v>0</v>
      </c>
      <c r="J152" s="21" t="n">
        <f aca="false">IFERROR((H152-G152)/H152,0)</f>
        <v>0</v>
      </c>
      <c r="K152" s="28"/>
    </row>
    <row r="153" customFormat="false" ht="15" hidden="false" customHeight="true" outlineLevel="0" collapsed="false">
      <c r="A153" s="27"/>
      <c r="B153" s="28"/>
      <c r="C153" s="28"/>
      <c r="D153" s="28"/>
      <c r="E153" s="28"/>
      <c r="F153" s="28"/>
      <c r="G153" s="29"/>
      <c r="H153" s="29"/>
      <c r="I153" s="20" t="n">
        <f aca="false">IFERROR(H153-G153,0)</f>
        <v>0</v>
      </c>
      <c r="J153" s="21" t="n">
        <f aca="false">IFERROR((H153-G153)/H153,0)</f>
        <v>0</v>
      </c>
      <c r="K153" s="28"/>
    </row>
    <row r="154" customFormat="false" ht="15" hidden="false" customHeight="true" outlineLevel="0" collapsed="false">
      <c r="A154" s="27"/>
      <c r="B154" s="28"/>
      <c r="C154" s="28"/>
      <c r="D154" s="28"/>
      <c r="E154" s="28"/>
      <c r="F154" s="28"/>
      <c r="G154" s="29"/>
      <c r="H154" s="29"/>
      <c r="I154" s="20" t="n">
        <f aca="false">IFERROR(H154-G154,0)</f>
        <v>0</v>
      </c>
      <c r="J154" s="21" t="n">
        <f aca="false">IFERROR((H154-G154)/H154,0)</f>
        <v>0</v>
      </c>
      <c r="K154" s="28"/>
    </row>
    <row r="155" customFormat="false" ht="15" hidden="false" customHeight="true" outlineLevel="0" collapsed="false">
      <c r="A155" s="27"/>
      <c r="B155" s="28"/>
      <c r="C155" s="28"/>
      <c r="D155" s="28"/>
      <c r="E155" s="28"/>
      <c r="F155" s="28"/>
      <c r="G155" s="29"/>
      <c r="H155" s="29"/>
      <c r="I155" s="20" t="n">
        <f aca="false">IFERROR(H155-G155,0)</f>
        <v>0</v>
      </c>
      <c r="J155" s="21" t="n">
        <f aca="false">IFERROR((H155-G155)/H155,0)</f>
        <v>0</v>
      </c>
      <c r="K155" s="28"/>
    </row>
    <row r="156" customFormat="false" ht="15" hidden="false" customHeight="true" outlineLevel="0" collapsed="false">
      <c r="A156" s="27"/>
      <c r="B156" s="28"/>
      <c r="C156" s="28"/>
      <c r="D156" s="28"/>
      <c r="E156" s="28"/>
      <c r="F156" s="28"/>
      <c r="G156" s="29"/>
      <c r="H156" s="29"/>
      <c r="I156" s="20" t="n">
        <f aca="false">IFERROR(H156-G156,0)</f>
        <v>0</v>
      </c>
      <c r="J156" s="21" t="n">
        <f aca="false">IFERROR((H156-G156)/H156,0)</f>
        <v>0</v>
      </c>
      <c r="K156" s="28"/>
    </row>
    <row r="157" customFormat="false" ht="15" hidden="false" customHeight="true" outlineLevel="0" collapsed="false">
      <c r="A157" s="27"/>
      <c r="B157" s="28"/>
      <c r="C157" s="28"/>
      <c r="D157" s="28"/>
      <c r="E157" s="28"/>
      <c r="F157" s="28"/>
      <c r="G157" s="29"/>
      <c r="H157" s="29"/>
      <c r="I157" s="20" t="n">
        <f aca="false">IFERROR(H157-G157,0)</f>
        <v>0</v>
      </c>
      <c r="J157" s="21" t="n">
        <f aca="false">IFERROR((H157-G157)/H157,0)</f>
        <v>0</v>
      </c>
      <c r="K157" s="28"/>
    </row>
    <row r="158" customFormat="false" ht="15" hidden="false" customHeight="true" outlineLevel="0" collapsed="false">
      <c r="A158" s="27"/>
      <c r="B158" s="28"/>
      <c r="C158" s="28"/>
      <c r="D158" s="28"/>
      <c r="E158" s="28"/>
      <c r="F158" s="28"/>
      <c r="G158" s="29"/>
      <c r="H158" s="29"/>
      <c r="I158" s="20" t="n">
        <f aca="false">IFERROR(H158-G158,0)</f>
        <v>0</v>
      </c>
      <c r="J158" s="21" t="n">
        <f aca="false">IFERROR((H158-G158)/H158,0)</f>
        <v>0</v>
      </c>
      <c r="K158" s="28"/>
    </row>
    <row r="159" customFormat="false" ht="15" hidden="false" customHeight="true" outlineLevel="0" collapsed="false">
      <c r="A159" s="27"/>
      <c r="B159" s="28"/>
      <c r="C159" s="28"/>
      <c r="D159" s="28"/>
      <c r="E159" s="28"/>
      <c r="F159" s="28"/>
      <c r="G159" s="29"/>
      <c r="H159" s="29"/>
      <c r="I159" s="20" t="n">
        <f aca="false">IFERROR(H159-G159,0)</f>
        <v>0</v>
      </c>
      <c r="J159" s="21" t="n">
        <f aca="false">IFERROR((H159-G159)/H159,0)</f>
        <v>0</v>
      </c>
      <c r="K159" s="28"/>
    </row>
    <row r="160" customFormat="false" ht="15" hidden="false" customHeight="true" outlineLevel="0" collapsed="false">
      <c r="A160" s="27"/>
      <c r="B160" s="28"/>
      <c r="C160" s="28"/>
      <c r="D160" s="28"/>
      <c r="E160" s="28"/>
      <c r="F160" s="28"/>
      <c r="G160" s="29"/>
      <c r="H160" s="29"/>
      <c r="I160" s="20" t="n">
        <f aca="false">IFERROR(H160-G160,0)</f>
        <v>0</v>
      </c>
      <c r="J160" s="21" t="n">
        <f aca="false">IFERROR((H160-G160)/H160,0)</f>
        <v>0</v>
      </c>
      <c r="K160" s="28"/>
    </row>
    <row r="161" customFormat="false" ht="15" hidden="false" customHeight="true" outlineLevel="0" collapsed="false">
      <c r="A161" s="27"/>
      <c r="B161" s="28"/>
      <c r="C161" s="28"/>
      <c r="D161" s="28"/>
      <c r="E161" s="28"/>
      <c r="F161" s="28"/>
      <c r="G161" s="29"/>
      <c r="H161" s="29"/>
      <c r="I161" s="20" t="n">
        <f aca="false">IFERROR(H161-G161,0)</f>
        <v>0</v>
      </c>
      <c r="J161" s="21" t="n">
        <f aca="false">IFERROR((H161-G161)/H161,0)</f>
        <v>0</v>
      </c>
      <c r="K161" s="28"/>
    </row>
    <row r="162" customFormat="false" ht="15" hidden="false" customHeight="true" outlineLevel="0" collapsed="false">
      <c r="A162" s="27"/>
      <c r="B162" s="28"/>
      <c r="C162" s="28"/>
      <c r="D162" s="28"/>
      <c r="E162" s="28"/>
      <c r="F162" s="28"/>
      <c r="G162" s="29"/>
      <c r="H162" s="29"/>
      <c r="I162" s="20" t="n">
        <f aca="false">IFERROR(H162-G162,0)</f>
        <v>0</v>
      </c>
      <c r="J162" s="21" t="n">
        <f aca="false">IFERROR((H162-G162)/H162,0)</f>
        <v>0</v>
      </c>
      <c r="K162" s="28"/>
    </row>
    <row r="163" customFormat="false" ht="15" hidden="false" customHeight="true" outlineLevel="0" collapsed="false">
      <c r="A163" s="27"/>
      <c r="B163" s="28"/>
      <c r="C163" s="28"/>
      <c r="D163" s="28"/>
      <c r="E163" s="28"/>
      <c r="F163" s="28"/>
      <c r="G163" s="29"/>
      <c r="H163" s="29"/>
      <c r="I163" s="20" t="n">
        <f aca="false">IFERROR(H163-G163,0)</f>
        <v>0</v>
      </c>
      <c r="J163" s="21" t="n">
        <f aca="false">IFERROR((H163-G163)/H163,0)</f>
        <v>0</v>
      </c>
      <c r="K163" s="28"/>
    </row>
    <row r="164" customFormat="false" ht="15" hidden="false" customHeight="true" outlineLevel="0" collapsed="false">
      <c r="A164" s="27"/>
      <c r="B164" s="28"/>
      <c r="C164" s="28"/>
      <c r="D164" s="28"/>
      <c r="E164" s="28"/>
      <c r="F164" s="28"/>
      <c r="G164" s="29"/>
      <c r="H164" s="29"/>
      <c r="I164" s="20" t="n">
        <f aca="false">IFERROR(H164-G164,0)</f>
        <v>0</v>
      </c>
      <c r="J164" s="21" t="n">
        <f aca="false">IFERROR((H164-G164)/H164,0)</f>
        <v>0</v>
      </c>
      <c r="K164" s="28"/>
    </row>
    <row r="165" customFormat="false" ht="15" hidden="false" customHeight="true" outlineLevel="0" collapsed="false">
      <c r="A165" s="27"/>
      <c r="B165" s="28"/>
      <c r="C165" s="28"/>
      <c r="D165" s="28"/>
      <c r="E165" s="28"/>
      <c r="F165" s="28"/>
      <c r="G165" s="29"/>
      <c r="H165" s="29"/>
      <c r="I165" s="20" t="n">
        <f aca="false">IFERROR(H165-G165,0)</f>
        <v>0</v>
      </c>
      <c r="J165" s="21" t="n">
        <f aca="false">IFERROR((H165-G165)/H165,0)</f>
        <v>0</v>
      </c>
      <c r="K165" s="28"/>
    </row>
    <row r="166" customFormat="false" ht="15" hidden="false" customHeight="true" outlineLevel="0" collapsed="false">
      <c r="A166" s="27"/>
      <c r="B166" s="28"/>
      <c r="C166" s="28"/>
      <c r="D166" s="28"/>
      <c r="E166" s="28"/>
      <c r="F166" s="28"/>
      <c r="G166" s="29"/>
      <c r="H166" s="29"/>
      <c r="I166" s="20" t="n">
        <f aca="false">IFERROR(H166-G166,0)</f>
        <v>0</v>
      </c>
      <c r="J166" s="21" t="n">
        <f aca="false">IFERROR((H166-G166)/H166,0)</f>
        <v>0</v>
      </c>
      <c r="K166" s="28"/>
    </row>
    <row r="167" customFormat="false" ht="15" hidden="false" customHeight="true" outlineLevel="0" collapsed="false">
      <c r="A167" s="27"/>
      <c r="B167" s="28"/>
      <c r="C167" s="28"/>
      <c r="D167" s="28"/>
      <c r="E167" s="28"/>
      <c r="F167" s="28"/>
      <c r="G167" s="29"/>
      <c r="H167" s="29"/>
      <c r="I167" s="20" t="n">
        <f aca="false">IFERROR(H167-G167,0)</f>
        <v>0</v>
      </c>
      <c r="J167" s="21" t="n">
        <f aca="false">IFERROR((H167-G167)/H167,0)</f>
        <v>0</v>
      </c>
      <c r="K167" s="28"/>
    </row>
    <row r="168" customFormat="false" ht="15" hidden="false" customHeight="true" outlineLevel="0" collapsed="false">
      <c r="A168" s="27"/>
      <c r="B168" s="28"/>
      <c r="C168" s="28"/>
      <c r="D168" s="28"/>
      <c r="E168" s="28"/>
      <c r="F168" s="28"/>
      <c r="G168" s="29"/>
      <c r="H168" s="29"/>
      <c r="I168" s="20" t="n">
        <f aca="false">IFERROR(H168-G168,0)</f>
        <v>0</v>
      </c>
      <c r="J168" s="21" t="n">
        <f aca="false">IFERROR((H168-G168)/H168,0)</f>
        <v>0</v>
      </c>
      <c r="K168" s="28"/>
    </row>
    <row r="169" customFormat="false" ht="15" hidden="false" customHeight="true" outlineLevel="0" collapsed="false">
      <c r="A169" s="27"/>
      <c r="B169" s="28"/>
      <c r="C169" s="28"/>
      <c r="D169" s="28"/>
      <c r="E169" s="28"/>
      <c r="F169" s="28"/>
      <c r="G169" s="29"/>
      <c r="H169" s="29"/>
      <c r="I169" s="20" t="n">
        <f aca="false">IFERROR(H169-G169,0)</f>
        <v>0</v>
      </c>
      <c r="J169" s="21" t="n">
        <f aca="false">IFERROR((H169-G169)/H169,0)</f>
        <v>0</v>
      </c>
      <c r="K169" s="28"/>
    </row>
    <row r="170" customFormat="false" ht="15" hidden="false" customHeight="true" outlineLevel="0" collapsed="false">
      <c r="A170" s="27"/>
      <c r="B170" s="28"/>
      <c r="C170" s="28"/>
      <c r="D170" s="28"/>
      <c r="E170" s="28"/>
      <c r="F170" s="28"/>
      <c r="G170" s="29"/>
      <c r="H170" s="29"/>
      <c r="I170" s="20" t="n">
        <f aca="false">IFERROR(H170-G170,0)</f>
        <v>0</v>
      </c>
      <c r="J170" s="21" t="n">
        <f aca="false">IFERROR((H170-G170)/H170,0)</f>
        <v>0</v>
      </c>
      <c r="K170" s="28"/>
    </row>
    <row r="171" customFormat="false" ht="15" hidden="false" customHeight="true" outlineLevel="0" collapsed="false">
      <c r="A171" s="27"/>
      <c r="B171" s="28"/>
      <c r="C171" s="28"/>
      <c r="D171" s="28"/>
      <c r="E171" s="28"/>
      <c r="F171" s="28"/>
      <c r="G171" s="29"/>
      <c r="H171" s="29"/>
      <c r="I171" s="20" t="n">
        <f aca="false">IFERROR(H171-G171,0)</f>
        <v>0</v>
      </c>
      <c r="J171" s="21" t="n">
        <f aca="false">IFERROR((H171-G171)/H171,0)</f>
        <v>0</v>
      </c>
      <c r="K171" s="28"/>
    </row>
    <row r="172" customFormat="false" ht="15" hidden="false" customHeight="true" outlineLevel="0" collapsed="false">
      <c r="A172" s="27"/>
      <c r="B172" s="28"/>
      <c r="C172" s="28"/>
      <c r="D172" s="28"/>
      <c r="E172" s="28"/>
      <c r="F172" s="28"/>
      <c r="G172" s="29"/>
      <c r="H172" s="29"/>
      <c r="I172" s="20" t="n">
        <f aca="false">IFERROR(H172-G172,0)</f>
        <v>0</v>
      </c>
      <c r="J172" s="21" t="n">
        <f aca="false">IFERROR((H172-G172)/H172,0)</f>
        <v>0</v>
      </c>
      <c r="K172" s="28"/>
    </row>
    <row r="173" customFormat="false" ht="15" hidden="false" customHeight="true" outlineLevel="0" collapsed="false">
      <c r="A173" s="27"/>
      <c r="B173" s="28"/>
      <c r="C173" s="28"/>
      <c r="D173" s="28"/>
      <c r="E173" s="28"/>
      <c r="F173" s="28"/>
      <c r="G173" s="29"/>
      <c r="H173" s="29"/>
      <c r="I173" s="20" t="n">
        <f aca="false">IFERROR(H173-G173,0)</f>
        <v>0</v>
      </c>
      <c r="J173" s="21" t="n">
        <f aca="false">IFERROR((H173-G173)/H173,0)</f>
        <v>0</v>
      </c>
      <c r="K173" s="28"/>
    </row>
    <row r="174" customFormat="false" ht="15" hidden="false" customHeight="true" outlineLevel="0" collapsed="false">
      <c r="A174" s="27"/>
      <c r="B174" s="28"/>
      <c r="C174" s="28"/>
      <c r="D174" s="28"/>
      <c r="E174" s="28"/>
      <c r="F174" s="28"/>
      <c r="G174" s="29"/>
      <c r="H174" s="29"/>
      <c r="I174" s="20" t="n">
        <f aca="false">IFERROR(H174-G174,0)</f>
        <v>0</v>
      </c>
      <c r="J174" s="21" t="n">
        <f aca="false">IFERROR((H174-G174)/H174,0)</f>
        <v>0</v>
      </c>
      <c r="K174" s="28"/>
    </row>
    <row r="175" customFormat="false" ht="15" hidden="false" customHeight="true" outlineLevel="0" collapsed="false">
      <c r="A175" s="27"/>
      <c r="B175" s="28"/>
      <c r="C175" s="28"/>
      <c r="D175" s="28"/>
      <c r="E175" s="28"/>
      <c r="F175" s="28"/>
      <c r="G175" s="29"/>
      <c r="H175" s="29"/>
      <c r="I175" s="20" t="n">
        <f aca="false">IFERROR(H175-G175,0)</f>
        <v>0</v>
      </c>
      <c r="J175" s="21" t="n">
        <f aca="false">IFERROR((H175-G175)/H175,0)</f>
        <v>0</v>
      </c>
      <c r="K175" s="28"/>
    </row>
    <row r="176" customFormat="false" ht="15" hidden="false" customHeight="true" outlineLevel="0" collapsed="false">
      <c r="A176" s="27"/>
      <c r="B176" s="28"/>
      <c r="C176" s="28"/>
      <c r="D176" s="28"/>
      <c r="E176" s="28"/>
      <c r="F176" s="28"/>
      <c r="G176" s="29"/>
      <c r="H176" s="29"/>
      <c r="I176" s="20" t="n">
        <f aca="false">IFERROR(H176-G176,0)</f>
        <v>0</v>
      </c>
      <c r="J176" s="21" t="n">
        <f aca="false">IFERROR((H176-G176)/H176,0)</f>
        <v>0</v>
      </c>
      <c r="K176" s="28"/>
    </row>
    <row r="177" customFormat="false" ht="15" hidden="false" customHeight="true" outlineLevel="0" collapsed="false">
      <c r="A177" s="27"/>
      <c r="B177" s="28"/>
      <c r="C177" s="28"/>
      <c r="D177" s="28"/>
      <c r="E177" s="28"/>
      <c r="F177" s="28"/>
      <c r="G177" s="29"/>
      <c r="H177" s="29"/>
      <c r="I177" s="20" t="n">
        <f aca="false">IFERROR(H177-G177,0)</f>
        <v>0</v>
      </c>
      <c r="J177" s="21" t="n">
        <f aca="false">IFERROR((H177-G177)/H177,0)</f>
        <v>0</v>
      </c>
      <c r="K177" s="28"/>
    </row>
    <row r="178" customFormat="false" ht="15" hidden="false" customHeight="true" outlineLevel="0" collapsed="false">
      <c r="A178" s="27"/>
      <c r="B178" s="28"/>
      <c r="C178" s="28"/>
      <c r="D178" s="28"/>
      <c r="E178" s="28"/>
      <c r="F178" s="28"/>
      <c r="G178" s="29"/>
      <c r="H178" s="29"/>
      <c r="I178" s="20" t="n">
        <f aca="false">IFERROR(H178-G178,0)</f>
        <v>0</v>
      </c>
      <c r="J178" s="21" t="n">
        <f aca="false">IFERROR((H178-G178)/H178,0)</f>
        <v>0</v>
      </c>
      <c r="K178" s="28"/>
    </row>
    <row r="179" customFormat="false" ht="15" hidden="false" customHeight="true" outlineLevel="0" collapsed="false">
      <c r="A179" s="27"/>
      <c r="B179" s="28"/>
      <c r="C179" s="28"/>
      <c r="D179" s="28"/>
      <c r="E179" s="28"/>
      <c r="F179" s="28"/>
      <c r="G179" s="29"/>
      <c r="H179" s="29"/>
      <c r="I179" s="20" t="n">
        <f aca="false">IFERROR(H179-G179,0)</f>
        <v>0</v>
      </c>
      <c r="J179" s="21" t="n">
        <f aca="false">IFERROR((H179-G179)/H179,0)</f>
        <v>0</v>
      </c>
      <c r="K179" s="28"/>
    </row>
    <row r="180" customFormat="false" ht="15" hidden="false" customHeight="true" outlineLevel="0" collapsed="false">
      <c r="A180" s="27"/>
      <c r="B180" s="28"/>
      <c r="C180" s="28"/>
      <c r="D180" s="28"/>
      <c r="E180" s="28"/>
      <c r="F180" s="28"/>
      <c r="G180" s="29"/>
      <c r="H180" s="29"/>
      <c r="I180" s="20" t="n">
        <f aca="false">IFERROR(H180-G180,0)</f>
        <v>0</v>
      </c>
      <c r="J180" s="21" t="n">
        <f aca="false">IFERROR((H180-G180)/H180,0)</f>
        <v>0</v>
      </c>
      <c r="K180" s="28"/>
    </row>
    <row r="181" customFormat="false" ht="15" hidden="false" customHeight="true" outlineLevel="0" collapsed="false">
      <c r="A181" s="27"/>
      <c r="B181" s="28"/>
      <c r="C181" s="28"/>
      <c r="D181" s="28"/>
      <c r="E181" s="28"/>
      <c r="F181" s="28"/>
      <c r="G181" s="29"/>
      <c r="H181" s="29"/>
      <c r="I181" s="20" t="n">
        <f aca="false">IFERROR(H181-G181,0)</f>
        <v>0</v>
      </c>
      <c r="J181" s="21" t="n">
        <f aca="false">IFERROR((H181-G181)/H181,0)</f>
        <v>0</v>
      </c>
      <c r="K181" s="28"/>
    </row>
    <row r="182" customFormat="false" ht="15" hidden="false" customHeight="true" outlineLevel="0" collapsed="false">
      <c r="A182" s="27"/>
      <c r="B182" s="28"/>
      <c r="C182" s="28"/>
      <c r="D182" s="28"/>
      <c r="E182" s="28"/>
      <c r="F182" s="28"/>
      <c r="G182" s="29"/>
      <c r="H182" s="29"/>
      <c r="I182" s="20" t="n">
        <f aca="false">IFERROR(H182-G182,0)</f>
        <v>0</v>
      </c>
      <c r="J182" s="21" t="n">
        <f aca="false">IFERROR((H182-G182)/H182,0)</f>
        <v>0</v>
      </c>
      <c r="K182" s="28"/>
    </row>
    <row r="183" customFormat="false" ht="15" hidden="false" customHeight="true" outlineLevel="0" collapsed="false">
      <c r="A183" s="27"/>
      <c r="B183" s="28"/>
      <c r="C183" s="28"/>
      <c r="D183" s="28"/>
      <c r="E183" s="28"/>
      <c r="F183" s="28"/>
      <c r="G183" s="29"/>
      <c r="H183" s="29"/>
      <c r="I183" s="20" t="n">
        <f aca="false">IFERROR(H183-G183,0)</f>
        <v>0</v>
      </c>
      <c r="J183" s="21" t="n">
        <f aca="false">IFERROR((H183-G183)/H183,0)</f>
        <v>0</v>
      </c>
      <c r="K183" s="28"/>
    </row>
    <row r="184" customFormat="false" ht="15" hidden="false" customHeight="true" outlineLevel="0" collapsed="false">
      <c r="A184" s="27"/>
      <c r="B184" s="28"/>
      <c r="C184" s="28"/>
      <c r="D184" s="28"/>
      <c r="E184" s="28"/>
      <c r="F184" s="28"/>
      <c r="G184" s="29"/>
      <c r="H184" s="29"/>
      <c r="I184" s="20" t="n">
        <f aca="false">IFERROR(H184-G184,0)</f>
        <v>0</v>
      </c>
      <c r="J184" s="21" t="n">
        <f aca="false">IFERROR((H184-G184)/H184,0)</f>
        <v>0</v>
      </c>
      <c r="K184" s="28"/>
    </row>
    <row r="185" customFormat="false" ht="15" hidden="false" customHeight="true" outlineLevel="0" collapsed="false">
      <c r="A185" s="27"/>
      <c r="B185" s="28"/>
      <c r="C185" s="28"/>
      <c r="D185" s="28"/>
      <c r="E185" s="28"/>
      <c r="F185" s="28"/>
      <c r="G185" s="29"/>
      <c r="H185" s="29"/>
      <c r="I185" s="20" t="n">
        <f aca="false">IFERROR(H185-G185,0)</f>
        <v>0</v>
      </c>
      <c r="J185" s="21" t="n">
        <f aca="false">IFERROR((H185-G185)/H185,0)</f>
        <v>0</v>
      </c>
      <c r="K185" s="28"/>
    </row>
    <row r="186" customFormat="false" ht="15" hidden="false" customHeight="true" outlineLevel="0" collapsed="false">
      <c r="A186" s="27"/>
      <c r="B186" s="28"/>
      <c r="C186" s="28"/>
      <c r="D186" s="28"/>
      <c r="E186" s="28"/>
      <c r="F186" s="28"/>
      <c r="G186" s="29"/>
      <c r="H186" s="29"/>
      <c r="I186" s="20" t="n">
        <f aca="false">IFERROR(H186-G186,0)</f>
        <v>0</v>
      </c>
      <c r="J186" s="21" t="n">
        <f aca="false">IFERROR((H186-G186)/H186,0)</f>
        <v>0</v>
      </c>
      <c r="K186" s="28"/>
    </row>
    <row r="187" customFormat="false" ht="15" hidden="false" customHeight="true" outlineLevel="0" collapsed="false">
      <c r="A187" s="27"/>
      <c r="B187" s="28"/>
      <c r="C187" s="28"/>
      <c r="D187" s="28"/>
      <c r="E187" s="28"/>
      <c r="F187" s="28"/>
      <c r="G187" s="29"/>
      <c r="H187" s="29"/>
      <c r="I187" s="20" t="n">
        <f aca="false">IFERROR(H187-G187,0)</f>
        <v>0</v>
      </c>
      <c r="J187" s="21" t="n">
        <f aca="false">IFERROR((H187-G187)/H187,0)</f>
        <v>0</v>
      </c>
      <c r="K187" s="28"/>
    </row>
    <row r="188" customFormat="false" ht="15" hidden="false" customHeight="true" outlineLevel="0" collapsed="false">
      <c r="A188" s="27"/>
      <c r="B188" s="28"/>
      <c r="C188" s="28"/>
      <c r="D188" s="28"/>
      <c r="E188" s="28"/>
      <c r="F188" s="28"/>
      <c r="G188" s="29"/>
      <c r="H188" s="29"/>
      <c r="I188" s="20" t="n">
        <f aca="false">IFERROR(H188-G188,0)</f>
        <v>0</v>
      </c>
      <c r="J188" s="21" t="n">
        <f aca="false">IFERROR((H188-G188)/H188,0)</f>
        <v>0</v>
      </c>
      <c r="K188" s="28"/>
    </row>
    <row r="189" customFormat="false" ht="15" hidden="false" customHeight="true" outlineLevel="0" collapsed="false">
      <c r="A189" s="27"/>
      <c r="B189" s="28"/>
      <c r="C189" s="28"/>
      <c r="D189" s="28"/>
      <c r="E189" s="28"/>
      <c r="F189" s="28"/>
      <c r="G189" s="29"/>
      <c r="H189" s="29"/>
      <c r="I189" s="20" t="n">
        <f aca="false">IFERROR(H189-G189,0)</f>
        <v>0</v>
      </c>
      <c r="J189" s="21" t="n">
        <f aca="false">IFERROR((H189-G189)/H189,0)</f>
        <v>0</v>
      </c>
      <c r="K189" s="28"/>
    </row>
    <row r="190" customFormat="false" ht="15" hidden="false" customHeight="true" outlineLevel="0" collapsed="false">
      <c r="A190" s="27"/>
      <c r="B190" s="28"/>
      <c r="C190" s="28"/>
      <c r="D190" s="28"/>
      <c r="E190" s="28"/>
      <c r="F190" s="28"/>
      <c r="G190" s="29"/>
      <c r="H190" s="29"/>
      <c r="I190" s="20" t="n">
        <f aca="false">IFERROR(H190-G190,0)</f>
        <v>0</v>
      </c>
      <c r="J190" s="21" t="n">
        <f aca="false">IFERROR((H190-G190)/H190,0)</f>
        <v>0</v>
      </c>
      <c r="K190" s="28"/>
    </row>
    <row r="191" customFormat="false" ht="15" hidden="false" customHeight="true" outlineLevel="0" collapsed="false">
      <c r="A191" s="27"/>
      <c r="B191" s="28"/>
      <c r="C191" s="28"/>
      <c r="D191" s="28"/>
      <c r="E191" s="28"/>
      <c r="F191" s="28"/>
      <c r="G191" s="29"/>
      <c r="H191" s="29"/>
      <c r="I191" s="20" t="n">
        <f aca="false">IFERROR(H191-G191,0)</f>
        <v>0</v>
      </c>
      <c r="J191" s="21" t="n">
        <f aca="false">IFERROR((H191-G191)/H191,0)</f>
        <v>0</v>
      </c>
      <c r="K191" s="28"/>
    </row>
    <row r="192" customFormat="false" ht="15" hidden="false" customHeight="true" outlineLevel="0" collapsed="false">
      <c r="A192" s="27"/>
      <c r="B192" s="28"/>
      <c r="C192" s="28"/>
      <c r="D192" s="28"/>
      <c r="E192" s="28"/>
      <c r="F192" s="28"/>
      <c r="G192" s="29"/>
      <c r="H192" s="29"/>
      <c r="I192" s="20" t="n">
        <f aca="false">IFERROR(H192-G192,0)</f>
        <v>0</v>
      </c>
      <c r="J192" s="21" t="n">
        <f aca="false">IFERROR((H192-G192)/H192,0)</f>
        <v>0</v>
      </c>
      <c r="K192" s="28"/>
    </row>
    <row r="193" customFormat="false" ht="15" hidden="false" customHeight="true" outlineLevel="0" collapsed="false">
      <c r="A193" s="27"/>
      <c r="B193" s="28"/>
      <c r="C193" s="28"/>
      <c r="D193" s="28"/>
      <c r="E193" s="28"/>
      <c r="F193" s="28"/>
      <c r="G193" s="29"/>
      <c r="H193" s="29"/>
      <c r="I193" s="20" t="n">
        <f aca="false">IFERROR(H193-G193,0)</f>
        <v>0</v>
      </c>
      <c r="J193" s="21" t="n">
        <f aca="false">IFERROR((H193-G193)/H193,0)</f>
        <v>0</v>
      </c>
      <c r="K193" s="28"/>
    </row>
    <row r="194" customFormat="false" ht="15" hidden="false" customHeight="true" outlineLevel="0" collapsed="false">
      <c r="A194" s="27"/>
      <c r="B194" s="28"/>
      <c r="C194" s="28"/>
      <c r="D194" s="28"/>
      <c r="E194" s="28"/>
      <c r="F194" s="28"/>
      <c r="G194" s="29"/>
      <c r="H194" s="29"/>
      <c r="I194" s="20" t="n">
        <f aca="false">IFERROR(H194-G194,0)</f>
        <v>0</v>
      </c>
      <c r="J194" s="21" t="n">
        <f aca="false">IFERROR((H194-G194)/H194,0)</f>
        <v>0</v>
      </c>
      <c r="K194" s="28"/>
    </row>
    <row r="195" customFormat="false" ht="15" hidden="false" customHeight="true" outlineLevel="0" collapsed="false">
      <c r="A195" s="27"/>
      <c r="B195" s="28"/>
      <c r="C195" s="28"/>
      <c r="D195" s="28"/>
      <c r="E195" s="28"/>
      <c r="F195" s="28"/>
      <c r="G195" s="29"/>
      <c r="H195" s="29"/>
      <c r="I195" s="20" t="n">
        <f aca="false">IFERROR(H195-G195,0)</f>
        <v>0</v>
      </c>
      <c r="J195" s="21" t="n">
        <f aca="false">IFERROR((H195-G195)/H195,0)</f>
        <v>0</v>
      </c>
      <c r="K195" s="28"/>
    </row>
    <row r="196" customFormat="false" ht="15" hidden="false" customHeight="true" outlineLevel="0" collapsed="false">
      <c r="A196" s="27"/>
      <c r="B196" s="28"/>
      <c r="C196" s="28"/>
      <c r="D196" s="28"/>
      <c r="E196" s="28"/>
      <c r="F196" s="28"/>
      <c r="G196" s="29"/>
      <c r="H196" s="29"/>
      <c r="I196" s="20" t="n">
        <f aca="false">IFERROR(H196-G196,0)</f>
        <v>0</v>
      </c>
      <c r="J196" s="21" t="n">
        <f aca="false">IFERROR((H196-G196)/H196,0)</f>
        <v>0</v>
      </c>
      <c r="K196" s="28"/>
    </row>
    <row r="197" customFormat="false" ht="15" hidden="false" customHeight="true" outlineLevel="0" collapsed="false">
      <c r="A197" s="27"/>
      <c r="B197" s="28"/>
      <c r="C197" s="28"/>
      <c r="D197" s="28"/>
      <c r="E197" s="28"/>
      <c r="F197" s="28"/>
      <c r="G197" s="29"/>
      <c r="H197" s="29"/>
      <c r="I197" s="20" t="n">
        <f aca="false">IFERROR(H197-G197,0)</f>
        <v>0</v>
      </c>
      <c r="J197" s="21" t="n">
        <f aca="false">IFERROR((H197-G197)/H197,0)</f>
        <v>0</v>
      </c>
      <c r="K197" s="28"/>
    </row>
    <row r="198" customFormat="false" ht="15" hidden="false" customHeight="true" outlineLevel="0" collapsed="false">
      <c r="A198" s="27"/>
      <c r="B198" s="28"/>
      <c r="C198" s="28"/>
      <c r="D198" s="28"/>
      <c r="E198" s="28"/>
      <c r="F198" s="28"/>
      <c r="G198" s="29"/>
      <c r="H198" s="29"/>
      <c r="I198" s="20" t="n">
        <f aca="false">IFERROR(H198-G198,0)</f>
        <v>0</v>
      </c>
      <c r="J198" s="21" t="n">
        <f aca="false">IFERROR((H198-G198)/H198,0)</f>
        <v>0</v>
      </c>
      <c r="K198" s="28"/>
    </row>
    <row r="199" customFormat="false" ht="15" hidden="false" customHeight="true" outlineLevel="0" collapsed="false">
      <c r="A199" s="27"/>
      <c r="B199" s="28"/>
      <c r="C199" s="28"/>
      <c r="D199" s="28"/>
      <c r="E199" s="28"/>
      <c r="F199" s="28"/>
      <c r="G199" s="29"/>
      <c r="H199" s="29"/>
      <c r="I199" s="20" t="n">
        <f aca="false">IFERROR(H199-G199,0)</f>
        <v>0</v>
      </c>
      <c r="J199" s="21" t="n">
        <f aca="false">IFERROR((H199-G199)/H199,0)</f>
        <v>0</v>
      </c>
      <c r="K199" s="28"/>
    </row>
    <row r="200" customFormat="false" ht="15" hidden="false" customHeight="true" outlineLevel="0" collapsed="false">
      <c r="A200" s="27"/>
      <c r="B200" s="28"/>
      <c r="C200" s="28"/>
      <c r="D200" s="28"/>
      <c r="E200" s="28"/>
      <c r="F200" s="28"/>
      <c r="G200" s="29"/>
      <c r="H200" s="29"/>
      <c r="I200" s="20" t="n">
        <f aca="false">IFERROR(H200-G200,0)</f>
        <v>0</v>
      </c>
      <c r="J200" s="21" t="n">
        <f aca="false">IFERROR((H200-G200)/H200,0)</f>
        <v>0</v>
      </c>
      <c r="K200" s="28"/>
    </row>
    <row r="201" customFormat="false" ht="15" hidden="false" customHeight="true" outlineLevel="0" collapsed="false">
      <c r="A201" s="27"/>
      <c r="B201" s="28"/>
      <c r="C201" s="28"/>
      <c r="D201" s="28"/>
      <c r="E201" s="28"/>
      <c r="F201" s="28"/>
      <c r="G201" s="29"/>
      <c r="H201" s="29"/>
      <c r="I201" s="20" t="n">
        <f aca="false">IFERROR(H201-G201,0)</f>
        <v>0</v>
      </c>
      <c r="J201" s="21" t="n">
        <f aca="false">IFERROR((H201-G201)/H201,0)</f>
        <v>0</v>
      </c>
      <c r="K201" s="28"/>
    </row>
    <row r="202" customFormat="false" ht="15" hidden="false" customHeight="true" outlineLevel="0" collapsed="false">
      <c r="A202" s="27"/>
      <c r="B202" s="28"/>
      <c r="C202" s="28"/>
      <c r="D202" s="28"/>
      <c r="E202" s="28"/>
      <c r="F202" s="28"/>
      <c r="G202" s="29"/>
      <c r="H202" s="29"/>
      <c r="I202" s="20" t="n">
        <f aca="false">IFERROR(H202-G202,0)</f>
        <v>0</v>
      </c>
      <c r="J202" s="21" t="n">
        <f aca="false">IFERROR((H202-G202)/H202,0)</f>
        <v>0</v>
      </c>
      <c r="K202" s="28"/>
    </row>
    <row r="203" customFormat="false" ht="15" hidden="false" customHeight="true" outlineLevel="0" collapsed="false">
      <c r="A203" s="27"/>
      <c r="B203" s="28"/>
      <c r="C203" s="28"/>
      <c r="D203" s="28"/>
      <c r="E203" s="28"/>
      <c r="F203" s="28"/>
      <c r="G203" s="29"/>
      <c r="H203" s="29"/>
      <c r="I203" s="20" t="n">
        <f aca="false">IFERROR(H203-G203,0)</f>
        <v>0</v>
      </c>
      <c r="J203" s="21" t="n">
        <f aca="false">IFERROR((H203-G203)/H203,0)</f>
        <v>0</v>
      </c>
      <c r="K203" s="28"/>
    </row>
  </sheetData>
  <mergeCells count="1">
    <mergeCell ref="A1:K1"/>
  </mergeCells>
  <dataValidations count="2">
    <dataValidation allowBlank="true" errorStyle="stop" operator="between" showDropDown="false" showErrorMessage="false" showInputMessage="false" sqref="F4:F203" type="list">
      <formula1>"iTunes,Razer,Mycard,USDT/PHP,เติมตรง"</formula1>
      <formula2>0</formula2>
    </dataValidation>
    <dataValidation allowBlank="true" errorStyle="stop" operator="between" showDropDown="false" showErrorMessage="false" showInputMessage="false" sqref="E4:E203" type="list">
      <formula1>"TrueWallet,SCB,KBank,Krungthai,BBL,PromptPay,USDT,เงินสด,อื่นๆ"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14"/>
  </cols>
  <sheetData>
    <row r="1" customFormat="false" ht="25.5" hidden="false" customHeight="true" outlineLevel="0" collapsed="false">
      <c r="A1" s="6" t="s">
        <v>89</v>
      </c>
      <c r="B1" s="6"/>
      <c r="C1" s="6"/>
      <c r="D1" s="6"/>
      <c r="E1" s="6"/>
      <c r="F1" s="6"/>
      <c r="G1" s="6"/>
      <c r="H1" s="6"/>
    </row>
    <row r="3" customFormat="false" ht="30" hidden="false" customHeight="true" outlineLevel="0" collapsed="false">
      <c r="A3" s="16" t="s">
        <v>51</v>
      </c>
      <c r="B3" s="16" t="s">
        <v>90</v>
      </c>
      <c r="C3" s="16" t="s">
        <v>54</v>
      </c>
      <c r="D3" s="16" t="s">
        <v>37</v>
      </c>
      <c r="E3" s="16" t="s">
        <v>91</v>
      </c>
      <c r="F3" s="16" t="s">
        <v>92</v>
      </c>
      <c r="G3" s="16" t="s">
        <v>57</v>
      </c>
      <c r="H3" s="16" t="s">
        <v>93</v>
      </c>
    </row>
    <row r="4" customFormat="false" ht="15" hidden="false" customHeight="true" outlineLevel="0" collapsed="false">
      <c r="A4" s="27" t="s">
        <v>94</v>
      </c>
      <c r="B4" s="30" t="n">
        <v>100</v>
      </c>
      <c r="C4" s="29" t="n">
        <v>33</v>
      </c>
      <c r="D4" s="20" t="n">
        <f aca="false">IFERROR(B4*C4,0)</f>
        <v>3300</v>
      </c>
      <c r="E4" s="25" t="n">
        <f aca="false">IFERROR(IF(B4=0,0,D4/B4),0)</f>
        <v>33</v>
      </c>
      <c r="F4" s="28" t="s">
        <v>47</v>
      </c>
      <c r="G4" s="28" t="s">
        <v>95</v>
      </c>
      <c r="H4" s="30"/>
    </row>
    <row r="5" customFormat="false" ht="15" hidden="false" customHeight="true" outlineLevel="0" collapsed="false">
      <c r="A5" s="27" t="s">
        <v>96</v>
      </c>
      <c r="B5" s="30" t="n">
        <v>50</v>
      </c>
      <c r="C5" s="29" t="n">
        <v>34</v>
      </c>
      <c r="D5" s="20" t="n">
        <f aca="false">IFERROR(B5*C5,0)</f>
        <v>1700</v>
      </c>
      <c r="E5" s="25" t="n">
        <f aca="false">IFERROR(IF(B5=0,0,D5/B5),0)</f>
        <v>34</v>
      </c>
      <c r="F5" s="28" t="s">
        <v>49</v>
      </c>
      <c r="G5" s="28" t="s">
        <v>97</v>
      </c>
      <c r="H5" s="30"/>
    </row>
    <row r="6" customFormat="false" ht="15" hidden="false" customHeight="true" outlineLevel="0" collapsed="false">
      <c r="A6" s="27" t="s">
        <v>58</v>
      </c>
      <c r="B6" s="30" t="n">
        <v>100</v>
      </c>
      <c r="C6" s="29" t="n">
        <v>32.8</v>
      </c>
      <c r="D6" s="20" t="n">
        <f aca="false">IFERROR(B6*C6,0)</f>
        <v>3280</v>
      </c>
      <c r="E6" s="25" t="n">
        <f aca="false">IFERROR(IF(B6=0,0,D6/B6),0)</f>
        <v>32.8</v>
      </c>
      <c r="F6" s="28" t="s">
        <v>46</v>
      </c>
      <c r="G6" s="28"/>
      <c r="H6" s="30"/>
    </row>
    <row r="7" customFormat="false" ht="15" hidden="false" customHeight="true" outlineLevel="0" collapsed="false">
      <c r="A7" s="27"/>
      <c r="B7" s="30"/>
      <c r="C7" s="29"/>
      <c r="D7" s="20" t="n">
        <f aca="false">IFERROR(B7*C7,0)</f>
        <v>0</v>
      </c>
      <c r="E7" s="25" t="n">
        <f aca="false">IFERROR(IF(B7=0,0,D7/B7),0)</f>
        <v>0</v>
      </c>
      <c r="F7" s="28"/>
      <c r="G7" s="28"/>
      <c r="H7" s="30"/>
    </row>
    <row r="8" customFormat="false" ht="15" hidden="false" customHeight="true" outlineLevel="0" collapsed="false">
      <c r="A8" s="27"/>
      <c r="B8" s="30"/>
      <c r="C8" s="29"/>
      <c r="D8" s="20" t="n">
        <f aca="false">IFERROR(B8*C8,0)</f>
        <v>0</v>
      </c>
      <c r="E8" s="25" t="n">
        <f aca="false">IFERROR(IF(B8=0,0,D8/B8),0)</f>
        <v>0</v>
      </c>
      <c r="F8" s="28"/>
      <c r="G8" s="28"/>
      <c r="H8" s="30"/>
    </row>
    <row r="9" customFormat="false" ht="15" hidden="false" customHeight="true" outlineLevel="0" collapsed="false">
      <c r="A9" s="27"/>
      <c r="B9" s="30"/>
      <c r="C9" s="29"/>
      <c r="D9" s="20" t="n">
        <f aca="false">IFERROR(B9*C9,0)</f>
        <v>0</v>
      </c>
      <c r="E9" s="25" t="n">
        <f aca="false">IFERROR(IF(B9=0,0,D9/B9),0)</f>
        <v>0</v>
      </c>
      <c r="F9" s="28"/>
      <c r="G9" s="28"/>
      <c r="H9" s="30"/>
    </row>
    <row r="10" customFormat="false" ht="15" hidden="false" customHeight="true" outlineLevel="0" collapsed="false">
      <c r="A10" s="27"/>
      <c r="B10" s="30"/>
      <c r="C10" s="29"/>
      <c r="D10" s="20" t="n">
        <f aca="false">IFERROR(B10*C10,0)</f>
        <v>0</v>
      </c>
      <c r="E10" s="25" t="n">
        <f aca="false">IFERROR(IF(B10=0,0,D10/B10),0)</f>
        <v>0</v>
      </c>
      <c r="F10" s="28"/>
      <c r="G10" s="28"/>
      <c r="H10" s="30"/>
    </row>
    <row r="11" customFormat="false" ht="15" hidden="false" customHeight="true" outlineLevel="0" collapsed="false">
      <c r="A11" s="27"/>
      <c r="B11" s="30"/>
      <c r="C11" s="29"/>
      <c r="D11" s="20" t="n">
        <f aca="false">IFERROR(B11*C11,0)</f>
        <v>0</v>
      </c>
      <c r="E11" s="25" t="n">
        <f aca="false">IFERROR(IF(B11=0,0,D11/B11),0)</f>
        <v>0</v>
      </c>
      <c r="F11" s="28"/>
      <c r="G11" s="28"/>
      <c r="H11" s="30"/>
    </row>
    <row r="12" customFormat="false" ht="15" hidden="false" customHeight="true" outlineLevel="0" collapsed="false">
      <c r="A12" s="27"/>
      <c r="B12" s="30"/>
      <c r="C12" s="29"/>
      <c r="D12" s="20" t="n">
        <f aca="false">IFERROR(B12*C12,0)</f>
        <v>0</v>
      </c>
      <c r="E12" s="25" t="n">
        <f aca="false">IFERROR(IF(B12=0,0,D12/B12),0)</f>
        <v>0</v>
      </c>
      <c r="F12" s="28"/>
      <c r="G12" s="28"/>
      <c r="H12" s="30"/>
    </row>
    <row r="13" customFormat="false" ht="15" hidden="false" customHeight="true" outlineLevel="0" collapsed="false">
      <c r="A13" s="27"/>
      <c r="B13" s="30"/>
      <c r="C13" s="29"/>
      <c r="D13" s="20" t="n">
        <f aca="false">IFERROR(B13*C13,0)</f>
        <v>0</v>
      </c>
      <c r="E13" s="25" t="n">
        <f aca="false">IFERROR(IF(B13=0,0,D13/B13),0)</f>
        <v>0</v>
      </c>
      <c r="F13" s="28"/>
      <c r="G13" s="28"/>
      <c r="H13" s="30"/>
    </row>
    <row r="14" customFormat="false" ht="15" hidden="false" customHeight="true" outlineLevel="0" collapsed="false">
      <c r="A14" s="27"/>
      <c r="B14" s="30"/>
      <c r="C14" s="29"/>
      <c r="D14" s="20" t="n">
        <f aca="false">IFERROR(B14*C14,0)</f>
        <v>0</v>
      </c>
      <c r="E14" s="25" t="n">
        <f aca="false">IFERROR(IF(B14=0,0,D14/B14),0)</f>
        <v>0</v>
      </c>
      <c r="F14" s="28"/>
      <c r="G14" s="28"/>
      <c r="H14" s="30"/>
    </row>
    <row r="15" customFormat="false" ht="15" hidden="false" customHeight="true" outlineLevel="0" collapsed="false">
      <c r="A15" s="27"/>
      <c r="B15" s="30"/>
      <c r="C15" s="29"/>
      <c r="D15" s="20" t="n">
        <f aca="false">IFERROR(B15*C15,0)</f>
        <v>0</v>
      </c>
      <c r="E15" s="25" t="n">
        <f aca="false">IFERROR(IF(B15=0,0,D15/B15),0)</f>
        <v>0</v>
      </c>
      <c r="F15" s="28"/>
      <c r="G15" s="28"/>
      <c r="H15" s="30"/>
    </row>
    <row r="16" customFormat="false" ht="15" hidden="false" customHeight="true" outlineLevel="0" collapsed="false">
      <c r="A16" s="27"/>
      <c r="B16" s="30"/>
      <c r="C16" s="29"/>
      <c r="D16" s="20" t="n">
        <f aca="false">IFERROR(B16*C16,0)</f>
        <v>0</v>
      </c>
      <c r="E16" s="25" t="n">
        <f aca="false">IFERROR(IF(B16=0,0,D16/B16),0)</f>
        <v>0</v>
      </c>
      <c r="F16" s="28"/>
      <c r="G16" s="28"/>
      <c r="H16" s="30"/>
    </row>
    <row r="17" customFormat="false" ht="15" hidden="false" customHeight="true" outlineLevel="0" collapsed="false">
      <c r="A17" s="27"/>
      <c r="B17" s="30"/>
      <c r="C17" s="29"/>
      <c r="D17" s="20" t="n">
        <f aca="false">IFERROR(B17*C17,0)</f>
        <v>0</v>
      </c>
      <c r="E17" s="25" t="n">
        <f aca="false">IFERROR(IF(B17=0,0,D17/B17),0)</f>
        <v>0</v>
      </c>
      <c r="F17" s="28"/>
      <c r="G17" s="28"/>
      <c r="H17" s="30"/>
    </row>
    <row r="18" customFormat="false" ht="15" hidden="false" customHeight="true" outlineLevel="0" collapsed="false">
      <c r="A18" s="27"/>
      <c r="B18" s="30"/>
      <c r="C18" s="29"/>
      <c r="D18" s="20" t="n">
        <f aca="false">IFERROR(B18*C18,0)</f>
        <v>0</v>
      </c>
      <c r="E18" s="25" t="n">
        <f aca="false">IFERROR(IF(B18=0,0,D18/B18),0)</f>
        <v>0</v>
      </c>
      <c r="F18" s="28"/>
      <c r="G18" s="28"/>
      <c r="H18" s="30"/>
    </row>
    <row r="19" customFormat="false" ht="15" hidden="false" customHeight="true" outlineLevel="0" collapsed="false">
      <c r="A19" s="27"/>
      <c r="B19" s="30"/>
      <c r="C19" s="29"/>
      <c r="D19" s="20" t="n">
        <f aca="false">IFERROR(B19*C19,0)</f>
        <v>0</v>
      </c>
      <c r="E19" s="25" t="n">
        <f aca="false">IFERROR(IF(B19=0,0,D19/B19),0)</f>
        <v>0</v>
      </c>
      <c r="F19" s="28"/>
      <c r="G19" s="28"/>
      <c r="H19" s="30"/>
    </row>
    <row r="20" customFormat="false" ht="15" hidden="false" customHeight="true" outlineLevel="0" collapsed="false">
      <c r="A20" s="27"/>
      <c r="B20" s="30"/>
      <c r="C20" s="29"/>
      <c r="D20" s="20" t="n">
        <f aca="false">IFERROR(B20*C20,0)</f>
        <v>0</v>
      </c>
      <c r="E20" s="25" t="n">
        <f aca="false">IFERROR(IF(B20=0,0,D20/B20),0)</f>
        <v>0</v>
      </c>
      <c r="F20" s="28"/>
      <c r="G20" s="28"/>
      <c r="H20" s="30"/>
    </row>
    <row r="21" customFormat="false" ht="15" hidden="false" customHeight="true" outlineLevel="0" collapsed="false">
      <c r="A21" s="27"/>
      <c r="B21" s="30"/>
      <c r="C21" s="29"/>
      <c r="D21" s="20" t="n">
        <f aca="false">IFERROR(B21*C21,0)</f>
        <v>0</v>
      </c>
      <c r="E21" s="25" t="n">
        <f aca="false">IFERROR(IF(B21=0,0,D21/B21),0)</f>
        <v>0</v>
      </c>
      <c r="F21" s="28"/>
      <c r="G21" s="28"/>
      <c r="H21" s="30"/>
    </row>
    <row r="22" customFormat="false" ht="15" hidden="false" customHeight="true" outlineLevel="0" collapsed="false">
      <c r="A22" s="27"/>
      <c r="B22" s="30"/>
      <c r="C22" s="29"/>
      <c r="D22" s="20" t="n">
        <f aca="false">IFERROR(B22*C22,0)</f>
        <v>0</v>
      </c>
      <c r="E22" s="25" t="n">
        <f aca="false">IFERROR(IF(B22=0,0,D22/B22),0)</f>
        <v>0</v>
      </c>
      <c r="F22" s="28"/>
      <c r="G22" s="28"/>
      <c r="H22" s="30"/>
    </row>
    <row r="23" customFormat="false" ht="15" hidden="false" customHeight="true" outlineLevel="0" collapsed="false">
      <c r="A23" s="27"/>
      <c r="B23" s="30"/>
      <c r="C23" s="29"/>
      <c r="D23" s="20" t="n">
        <f aca="false">IFERROR(B23*C23,0)</f>
        <v>0</v>
      </c>
      <c r="E23" s="25" t="n">
        <f aca="false">IFERROR(IF(B23=0,0,D23/B23),0)</f>
        <v>0</v>
      </c>
      <c r="F23" s="28"/>
      <c r="G23" s="28"/>
      <c r="H23" s="30"/>
    </row>
    <row r="24" customFormat="false" ht="15" hidden="false" customHeight="true" outlineLevel="0" collapsed="false">
      <c r="A24" s="27"/>
      <c r="B24" s="30"/>
      <c r="C24" s="29"/>
      <c r="D24" s="20" t="n">
        <f aca="false">IFERROR(B24*C24,0)</f>
        <v>0</v>
      </c>
      <c r="E24" s="25" t="n">
        <f aca="false">IFERROR(IF(B24=0,0,D24/B24),0)</f>
        <v>0</v>
      </c>
      <c r="F24" s="28"/>
      <c r="G24" s="28"/>
      <c r="H24" s="30"/>
    </row>
    <row r="25" customFormat="false" ht="15" hidden="false" customHeight="true" outlineLevel="0" collapsed="false">
      <c r="A25" s="27"/>
      <c r="B25" s="30"/>
      <c r="C25" s="29"/>
      <c r="D25" s="20" t="n">
        <f aca="false">IFERROR(B25*C25,0)</f>
        <v>0</v>
      </c>
      <c r="E25" s="25" t="n">
        <f aca="false">IFERROR(IF(B25=0,0,D25/B25),0)</f>
        <v>0</v>
      </c>
      <c r="F25" s="28"/>
      <c r="G25" s="28"/>
      <c r="H25" s="30"/>
    </row>
    <row r="26" customFormat="false" ht="15" hidden="false" customHeight="true" outlineLevel="0" collapsed="false">
      <c r="A26" s="27"/>
      <c r="B26" s="30"/>
      <c r="C26" s="29"/>
      <c r="D26" s="20" t="n">
        <f aca="false">IFERROR(B26*C26,0)</f>
        <v>0</v>
      </c>
      <c r="E26" s="25" t="n">
        <f aca="false">IFERROR(IF(B26=0,0,D26/B26),0)</f>
        <v>0</v>
      </c>
      <c r="F26" s="28"/>
      <c r="G26" s="28"/>
      <c r="H26" s="30"/>
    </row>
    <row r="27" customFormat="false" ht="15" hidden="false" customHeight="true" outlineLevel="0" collapsed="false">
      <c r="A27" s="27"/>
      <c r="B27" s="30"/>
      <c r="C27" s="29"/>
      <c r="D27" s="20" t="n">
        <f aca="false">IFERROR(B27*C27,0)</f>
        <v>0</v>
      </c>
      <c r="E27" s="25" t="n">
        <f aca="false">IFERROR(IF(B27=0,0,D27/B27),0)</f>
        <v>0</v>
      </c>
      <c r="F27" s="28"/>
      <c r="G27" s="28"/>
      <c r="H27" s="30"/>
    </row>
    <row r="28" customFormat="false" ht="15" hidden="false" customHeight="true" outlineLevel="0" collapsed="false">
      <c r="A28" s="27"/>
      <c r="B28" s="30"/>
      <c r="C28" s="29"/>
      <c r="D28" s="20" t="n">
        <f aca="false">IFERROR(B28*C28,0)</f>
        <v>0</v>
      </c>
      <c r="E28" s="25" t="n">
        <f aca="false">IFERROR(IF(B28=0,0,D28/B28),0)</f>
        <v>0</v>
      </c>
      <c r="F28" s="28"/>
      <c r="G28" s="28"/>
      <c r="H28" s="30"/>
    </row>
    <row r="29" customFormat="false" ht="15" hidden="false" customHeight="true" outlineLevel="0" collapsed="false">
      <c r="A29" s="27"/>
      <c r="B29" s="30"/>
      <c r="C29" s="29"/>
      <c r="D29" s="20" t="n">
        <f aca="false">IFERROR(B29*C29,0)</f>
        <v>0</v>
      </c>
      <c r="E29" s="25" t="n">
        <f aca="false">IFERROR(IF(B29=0,0,D29/B29),0)</f>
        <v>0</v>
      </c>
      <c r="F29" s="28"/>
      <c r="G29" s="28"/>
      <c r="H29" s="30"/>
    </row>
    <row r="30" customFormat="false" ht="15" hidden="false" customHeight="true" outlineLevel="0" collapsed="false">
      <c r="A30" s="27"/>
      <c r="B30" s="30"/>
      <c r="C30" s="29"/>
      <c r="D30" s="20" t="n">
        <f aca="false">IFERROR(B30*C30,0)</f>
        <v>0</v>
      </c>
      <c r="E30" s="25" t="n">
        <f aca="false">IFERROR(IF(B30=0,0,D30/B30),0)</f>
        <v>0</v>
      </c>
      <c r="F30" s="28"/>
      <c r="G30" s="28"/>
      <c r="H30" s="30"/>
    </row>
    <row r="31" customFormat="false" ht="15" hidden="false" customHeight="true" outlineLevel="0" collapsed="false">
      <c r="A31" s="27"/>
      <c r="B31" s="30"/>
      <c r="C31" s="29"/>
      <c r="D31" s="20" t="n">
        <f aca="false">IFERROR(B31*C31,0)</f>
        <v>0</v>
      </c>
      <c r="E31" s="25" t="n">
        <f aca="false">IFERROR(IF(B31=0,0,D31/B31),0)</f>
        <v>0</v>
      </c>
      <c r="F31" s="28"/>
      <c r="G31" s="28"/>
      <c r="H31" s="30"/>
    </row>
    <row r="32" customFormat="false" ht="15" hidden="false" customHeight="true" outlineLevel="0" collapsed="false">
      <c r="A32" s="27"/>
      <c r="B32" s="30"/>
      <c r="C32" s="29"/>
      <c r="D32" s="20" t="n">
        <f aca="false">IFERROR(B32*C32,0)</f>
        <v>0</v>
      </c>
      <c r="E32" s="25" t="n">
        <f aca="false">IFERROR(IF(B32=0,0,D32/B32),0)</f>
        <v>0</v>
      </c>
      <c r="F32" s="28"/>
      <c r="G32" s="28"/>
      <c r="H32" s="30"/>
    </row>
    <row r="33" customFormat="false" ht="15" hidden="false" customHeight="true" outlineLevel="0" collapsed="false">
      <c r="A33" s="27"/>
      <c r="B33" s="30"/>
      <c r="C33" s="29"/>
      <c r="D33" s="20" t="n">
        <f aca="false">IFERROR(B33*C33,0)</f>
        <v>0</v>
      </c>
      <c r="E33" s="25" t="n">
        <f aca="false">IFERROR(IF(B33=0,0,D33/B33),0)</f>
        <v>0</v>
      </c>
      <c r="F33" s="28"/>
      <c r="G33" s="28"/>
      <c r="H33" s="30"/>
    </row>
    <row r="34" customFormat="false" ht="15" hidden="false" customHeight="true" outlineLevel="0" collapsed="false">
      <c r="A34" s="27"/>
      <c r="B34" s="30"/>
      <c r="C34" s="29"/>
      <c r="D34" s="20" t="n">
        <f aca="false">IFERROR(B34*C34,0)</f>
        <v>0</v>
      </c>
      <c r="E34" s="25" t="n">
        <f aca="false">IFERROR(IF(B34=0,0,D34/B34),0)</f>
        <v>0</v>
      </c>
      <c r="F34" s="28"/>
      <c r="G34" s="28"/>
      <c r="H34" s="30"/>
    </row>
    <row r="35" customFormat="false" ht="15" hidden="false" customHeight="true" outlineLevel="0" collapsed="false">
      <c r="A35" s="27"/>
      <c r="B35" s="30"/>
      <c r="C35" s="29"/>
      <c r="D35" s="20" t="n">
        <f aca="false">IFERROR(B35*C35,0)</f>
        <v>0</v>
      </c>
      <c r="E35" s="25" t="n">
        <f aca="false">IFERROR(IF(B35=0,0,D35/B35),0)</f>
        <v>0</v>
      </c>
      <c r="F35" s="28"/>
      <c r="G35" s="28"/>
      <c r="H35" s="30"/>
    </row>
    <row r="36" customFormat="false" ht="15" hidden="false" customHeight="true" outlineLevel="0" collapsed="false">
      <c r="A36" s="27"/>
      <c r="B36" s="30"/>
      <c r="C36" s="29"/>
      <c r="D36" s="20" t="n">
        <f aca="false">IFERROR(B36*C36,0)</f>
        <v>0</v>
      </c>
      <c r="E36" s="25" t="n">
        <f aca="false">IFERROR(IF(B36=0,0,D36/B36),0)</f>
        <v>0</v>
      </c>
      <c r="F36" s="28"/>
      <c r="G36" s="28"/>
      <c r="H36" s="30"/>
    </row>
    <row r="37" customFormat="false" ht="15" hidden="false" customHeight="true" outlineLevel="0" collapsed="false">
      <c r="A37" s="27"/>
      <c r="B37" s="30"/>
      <c r="C37" s="29"/>
      <c r="D37" s="20" t="n">
        <f aca="false">IFERROR(B37*C37,0)</f>
        <v>0</v>
      </c>
      <c r="E37" s="25" t="n">
        <f aca="false">IFERROR(IF(B37=0,0,D37/B37),0)</f>
        <v>0</v>
      </c>
      <c r="F37" s="28"/>
      <c r="G37" s="28"/>
      <c r="H37" s="30"/>
    </row>
    <row r="38" customFormat="false" ht="15" hidden="false" customHeight="true" outlineLevel="0" collapsed="false">
      <c r="A38" s="27"/>
      <c r="B38" s="30"/>
      <c r="C38" s="29"/>
      <c r="D38" s="20" t="n">
        <f aca="false">IFERROR(B38*C38,0)</f>
        <v>0</v>
      </c>
      <c r="E38" s="25" t="n">
        <f aca="false">IFERROR(IF(B38=0,0,D38/B38),0)</f>
        <v>0</v>
      </c>
      <c r="F38" s="28"/>
      <c r="G38" s="28"/>
      <c r="H38" s="30"/>
    </row>
    <row r="39" customFormat="false" ht="15" hidden="false" customHeight="true" outlineLevel="0" collapsed="false">
      <c r="A39" s="27"/>
      <c r="B39" s="30"/>
      <c r="C39" s="29"/>
      <c r="D39" s="20" t="n">
        <f aca="false">IFERROR(B39*C39,0)</f>
        <v>0</v>
      </c>
      <c r="E39" s="25" t="n">
        <f aca="false">IFERROR(IF(B39=0,0,D39/B39),0)</f>
        <v>0</v>
      </c>
      <c r="F39" s="28"/>
      <c r="G39" s="28"/>
      <c r="H39" s="30"/>
    </row>
    <row r="40" customFormat="false" ht="15" hidden="false" customHeight="true" outlineLevel="0" collapsed="false">
      <c r="A40" s="27"/>
      <c r="B40" s="30"/>
      <c r="C40" s="29"/>
      <c r="D40" s="20" t="n">
        <f aca="false">IFERROR(B40*C40,0)</f>
        <v>0</v>
      </c>
      <c r="E40" s="25" t="n">
        <f aca="false">IFERROR(IF(B40=0,0,D40/B40),0)</f>
        <v>0</v>
      </c>
      <c r="F40" s="28"/>
      <c r="G40" s="28"/>
      <c r="H40" s="30"/>
    </row>
    <row r="41" customFormat="false" ht="15" hidden="false" customHeight="true" outlineLevel="0" collapsed="false">
      <c r="A41" s="27"/>
      <c r="B41" s="30"/>
      <c r="C41" s="29"/>
      <c r="D41" s="20" t="n">
        <f aca="false">IFERROR(B41*C41,0)</f>
        <v>0</v>
      </c>
      <c r="E41" s="25" t="n">
        <f aca="false">IFERROR(IF(B41=0,0,D41/B41),0)</f>
        <v>0</v>
      </c>
      <c r="F41" s="28"/>
      <c r="G41" s="28"/>
      <c r="H41" s="30"/>
    </row>
    <row r="42" customFormat="false" ht="15" hidden="false" customHeight="true" outlineLevel="0" collapsed="false">
      <c r="A42" s="27"/>
      <c r="B42" s="30"/>
      <c r="C42" s="29"/>
      <c r="D42" s="20" t="n">
        <f aca="false">IFERROR(B42*C42,0)</f>
        <v>0</v>
      </c>
      <c r="E42" s="25" t="n">
        <f aca="false">IFERROR(IF(B42=0,0,D42/B42),0)</f>
        <v>0</v>
      </c>
      <c r="F42" s="28"/>
      <c r="G42" s="28"/>
      <c r="H42" s="30"/>
    </row>
    <row r="43" customFormat="false" ht="15" hidden="false" customHeight="true" outlineLevel="0" collapsed="false">
      <c r="A43" s="27"/>
      <c r="B43" s="30"/>
      <c r="C43" s="29"/>
      <c r="D43" s="20" t="n">
        <f aca="false">IFERROR(B43*C43,0)</f>
        <v>0</v>
      </c>
      <c r="E43" s="25" t="n">
        <f aca="false">IFERROR(IF(B43=0,0,D43/B43),0)</f>
        <v>0</v>
      </c>
      <c r="F43" s="28"/>
      <c r="G43" s="28"/>
      <c r="H43" s="30"/>
    </row>
    <row r="44" customFormat="false" ht="15" hidden="false" customHeight="true" outlineLevel="0" collapsed="false">
      <c r="A44" s="27"/>
      <c r="B44" s="30"/>
      <c r="C44" s="29"/>
      <c r="D44" s="20" t="n">
        <f aca="false">IFERROR(B44*C44,0)</f>
        <v>0</v>
      </c>
      <c r="E44" s="25" t="n">
        <f aca="false">IFERROR(IF(B44=0,0,D44/B44),0)</f>
        <v>0</v>
      </c>
      <c r="F44" s="28"/>
      <c r="G44" s="28"/>
      <c r="H44" s="30"/>
    </row>
    <row r="45" customFormat="false" ht="15" hidden="false" customHeight="true" outlineLevel="0" collapsed="false">
      <c r="A45" s="27"/>
      <c r="B45" s="30"/>
      <c r="C45" s="29"/>
      <c r="D45" s="20" t="n">
        <f aca="false">IFERROR(B45*C45,0)</f>
        <v>0</v>
      </c>
      <c r="E45" s="25" t="n">
        <f aca="false">IFERROR(IF(B45=0,0,D45/B45),0)</f>
        <v>0</v>
      </c>
      <c r="F45" s="28"/>
      <c r="G45" s="28"/>
      <c r="H45" s="30"/>
    </row>
    <row r="46" customFormat="false" ht="15" hidden="false" customHeight="true" outlineLevel="0" collapsed="false">
      <c r="A46" s="27"/>
      <c r="B46" s="30"/>
      <c r="C46" s="29"/>
      <c r="D46" s="20" t="n">
        <f aca="false">IFERROR(B46*C46,0)</f>
        <v>0</v>
      </c>
      <c r="E46" s="25" t="n">
        <f aca="false">IFERROR(IF(B46=0,0,D46/B46),0)</f>
        <v>0</v>
      </c>
      <c r="F46" s="28"/>
      <c r="G46" s="28"/>
      <c r="H46" s="30"/>
    </row>
    <row r="47" customFormat="false" ht="15" hidden="false" customHeight="true" outlineLevel="0" collapsed="false">
      <c r="A47" s="27"/>
      <c r="B47" s="30"/>
      <c r="C47" s="29"/>
      <c r="D47" s="20" t="n">
        <f aca="false">IFERROR(B47*C47,0)</f>
        <v>0</v>
      </c>
      <c r="E47" s="25" t="n">
        <f aca="false">IFERROR(IF(B47=0,0,D47/B47),0)</f>
        <v>0</v>
      </c>
      <c r="F47" s="28"/>
      <c r="G47" s="28"/>
      <c r="H47" s="30"/>
    </row>
    <row r="48" customFormat="false" ht="15" hidden="false" customHeight="true" outlineLevel="0" collapsed="false">
      <c r="A48" s="27"/>
      <c r="B48" s="30"/>
      <c r="C48" s="29"/>
      <c r="D48" s="20" t="n">
        <f aca="false">IFERROR(B48*C48,0)</f>
        <v>0</v>
      </c>
      <c r="E48" s="25" t="n">
        <f aca="false">IFERROR(IF(B48=0,0,D48/B48),0)</f>
        <v>0</v>
      </c>
      <c r="F48" s="28"/>
      <c r="G48" s="28"/>
      <c r="H48" s="30"/>
    </row>
    <row r="49" customFormat="false" ht="15" hidden="false" customHeight="true" outlineLevel="0" collapsed="false">
      <c r="A49" s="27"/>
      <c r="B49" s="30"/>
      <c r="C49" s="29"/>
      <c r="D49" s="20" t="n">
        <f aca="false">IFERROR(B49*C49,0)</f>
        <v>0</v>
      </c>
      <c r="E49" s="25" t="n">
        <f aca="false">IFERROR(IF(B49=0,0,D49/B49),0)</f>
        <v>0</v>
      </c>
      <c r="F49" s="28"/>
      <c r="G49" s="28"/>
      <c r="H49" s="30"/>
    </row>
    <row r="50" customFormat="false" ht="15" hidden="false" customHeight="true" outlineLevel="0" collapsed="false">
      <c r="A50" s="27"/>
      <c r="B50" s="30"/>
      <c r="C50" s="29"/>
      <c r="D50" s="20" t="n">
        <f aca="false">IFERROR(B50*C50,0)</f>
        <v>0</v>
      </c>
      <c r="E50" s="25" t="n">
        <f aca="false">IFERROR(IF(B50=0,0,D50/B50),0)</f>
        <v>0</v>
      </c>
      <c r="F50" s="28"/>
      <c r="G50" s="28"/>
      <c r="H50" s="30"/>
    </row>
    <row r="51" customFormat="false" ht="15" hidden="false" customHeight="true" outlineLevel="0" collapsed="false">
      <c r="A51" s="27"/>
      <c r="B51" s="30"/>
      <c r="C51" s="29"/>
      <c r="D51" s="20" t="n">
        <f aca="false">IFERROR(B51*C51,0)</f>
        <v>0</v>
      </c>
      <c r="E51" s="25" t="n">
        <f aca="false">IFERROR(IF(B51=0,0,D51/B51),0)</f>
        <v>0</v>
      </c>
      <c r="F51" s="28"/>
      <c r="G51" s="28"/>
      <c r="H51" s="30"/>
    </row>
    <row r="52" customFormat="false" ht="15" hidden="false" customHeight="true" outlineLevel="0" collapsed="false">
      <c r="A52" s="27"/>
      <c r="B52" s="30"/>
      <c r="C52" s="29"/>
      <c r="D52" s="20" t="n">
        <f aca="false">IFERROR(B52*C52,0)</f>
        <v>0</v>
      </c>
      <c r="E52" s="25" t="n">
        <f aca="false">IFERROR(IF(B52=0,0,D52/B52),0)</f>
        <v>0</v>
      </c>
      <c r="F52" s="28"/>
      <c r="G52" s="28"/>
      <c r="H52" s="30"/>
    </row>
    <row r="53" customFormat="false" ht="15" hidden="false" customHeight="true" outlineLevel="0" collapsed="false">
      <c r="A53" s="27"/>
      <c r="B53" s="30"/>
      <c r="C53" s="29"/>
      <c r="D53" s="20" t="n">
        <f aca="false">IFERROR(B53*C53,0)</f>
        <v>0</v>
      </c>
      <c r="E53" s="25" t="n">
        <f aca="false">IFERROR(IF(B53=0,0,D53/B53),0)</f>
        <v>0</v>
      </c>
      <c r="F53" s="28"/>
      <c r="G53" s="28"/>
      <c r="H53" s="30"/>
    </row>
    <row r="54" customFormat="false" ht="15" hidden="false" customHeight="true" outlineLevel="0" collapsed="false">
      <c r="A54" s="27"/>
      <c r="B54" s="30"/>
      <c r="C54" s="29"/>
      <c r="D54" s="20" t="n">
        <f aca="false">IFERROR(B54*C54,0)</f>
        <v>0</v>
      </c>
      <c r="E54" s="25" t="n">
        <f aca="false">IFERROR(IF(B54=0,0,D54/B54),0)</f>
        <v>0</v>
      </c>
      <c r="F54" s="28"/>
      <c r="G54" s="28"/>
      <c r="H54" s="30"/>
    </row>
    <row r="55" customFormat="false" ht="15" hidden="false" customHeight="true" outlineLevel="0" collapsed="false">
      <c r="A55" s="27"/>
      <c r="B55" s="30"/>
      <c r="C55" s="29"/>
      <c r="D55" s="20" t="n">
        <f aca="false">IFERROR(B55*C55,0)</f>
        <v>0</v>
      </c>
      <c r="E55" s="25" t="n">
        <f aca="false">IFERROR(IF(B55=0,0,D55/B55),0)</f>
        <v>0</v>
      </c>
      <c r="F55" s="28"/>
      <c r="G55" s="28"/>
      <c r="H55" s="30"/>
    </row>
    <row r="56" customFormat="false" ht="15" hidden="false" customHeight="true" outlineLevel="0" collapsed="false">
      <c r="A56" s="27"/>
      <c r="B56" s="30"/>
      <c r="C56" s="29"/>
      <c r="D56" s="20" t="n">
        <f aca="false">IFERROR(B56*C56,0)</f>
        <v>0</v>
      </c>
      <c r="E56" s="25" t="n">
        <f aca="false">IFERROR(IF(B56=0,0,D56/B56),0)</f>
        <v>0</v>
      </c>
      <c r="F56" s="28"/>
      <c r="G56" s="28"/>
      <c r="H56" s="30"/>
    </row>
    <row r="57" customFormat="false" ht="15" hidden="false" customHeight="true" outlineLevel="0" collapsed="false">
      <c r="A57" s="27"/>
      <c r="B57" s="30"/>
      <c r="C57" s="29"/>
      <c r="D57" s="20" t="n">
        <f aca="false">IFERROR(B57*C57,0)</f>
        <v>0</v>
      </c>
      <c r="E57" s="25" t="n">
        <f aca="false">IFERROR(IF(B57=0,0,D57/B57),0)</f>
        <v>0</v>
      </c>
      <c r="F57" s="28"/>
      <c r="G57" s="28"/>
      <c r="H57" s="30"/>
    </row>
    <row r="58" customFormat="false" ht="15" hidden="false" customHeight="true" outlineLevel="0" collapsed="false">
      <c r="A58" s="27"/>
      <c r="B58" s="30"/>
      <c r="C58" s="29"/>
      <c r="D58" s="20" t="n">
        <f aca="false">IFERROR(B58*C58,0)</f>
        <v>0</v>
      </c>
      <c r="E58" s="25" t="n">
        <f aca="false">IFERROR(IF(B58=0,0,D58/B58),0)</f>
        <v>0</v>
      </c>
      <c r="F58" s="28"/>
      <c r="G58" s="28"/>
      <c r="H58" s="30"/>
    </row>
    <row r="59" customFormat="false" ht="15" hidden="false" customHeight="true" outlineLevel="0" collapsed="false">
      <c r="A59" s="27"/>
      <c r="B59" s="30"/>
      <c r="C59" s="29"/>
      <c r="D59" s="20" t="n">
        <f aca="false">IFERROR(B59*C59,0)</f>
        <v>0</v>
      </c>
      <c r="E59" s="25" t="n">
        <f aca="false">IFERROR(IF(B59=0,0,D59/B59),0)</f>
        <v>0</v>
      </c>
      <c r="F59" s="28"/>
      <c r="G59" s="28"/>
      <c r="H59" s="30"/>
    </row>
    <row r="60" customFormat="false" ht="15" hidden="false" customHeight="true" outlineLevel="0" collapsed="false">
      <c r="A60" s="27"/>
      <c r="B60" s="30"/>
      <c r="C60" s="29"/>
      <c r="D60" s="20" t="n">
        <f aca="false">IFERROR(B60*C60,0)</f>
        <v>0</v>
      </c>
      <c r="E60" s="25" t="n">
        <f aca="false">IFERROR(IF(B60=0,0,D60/B60),0)</f>
        <v>0</v>
      </c>
      <c r="F60" s="28"/>
      <c r="G60" s="28"/>
      <c r="H60" s="30"/>
    </row>
    <row r="61" customFormat="false" ht="15" hidden="false" customHeight="true" outlineLevel="0" collapsed="false">
      <c r="A61" s="27"/>
      <c r="B61" s="30"/>
      <c r="C61" s="29"/>
      <c r="D61" s="20" t="n">
        <f aca="false">IFERROR(B61*C61,0)</f>
        <v>0</v>
      </c>
      <c r="E61" s="25" t="n">
        <f aca="false">IFERROR(IF(B61=0,0,D61/B61),0)</f>
        <v>0</v>
      </c>
      <c r="F61" s="28"/>
      <c r="G61" s="28"/>
      <c r="H61" s="30"/>
    </row>
    <row r="62" customFormat="false" ht="15" hidden="false" customHeight="true" outlineLevel="0" collapsed="false">
      <c r="A62" s="27"/>
      <c r="B62" s="30"/>
      <c r="C62" s="29"/>
      <c r="D62" s="20" t="n">
        <f aca="false">IFERROR(B62*C62,0)</f>
        <v>0</v>
      </c>
      <c r="E62" s="25" t="n">
        <f aca="false">IFERROR(IF(B62=0,0,D62/B62),0)</f>
        <v>0</v>
      </c>
      <c r="F62" s="28"/>
      <c r="G62" s="28"/>
      <c r="H62" s="30"/>
    </row>
    <row r="63" customFormat="false" ht="15" hidden="false" customHeight="true" outlineLevel="0" collapsed="false">
      <c r="A63" s="27"/>
      <c r="B63" s="30"/>
      <c r="C63" s="29"/>
      <c r="D63" s="20" t="n">
        <f aca="false">IFERROR(B63*C63,0)</f>
        <v>0</v>
      </c>
      <c r="E63" s="25" t="n">
        <f aca="false">IFERROR(IF(B63=0,0,D63/B63),0)</f>
        <v>0</v>
      </c>
      <c r="F63" s="28"/>
      <c r="G63" s="28"/>
      <c r="H63" s="30"/>
    </row>
    <row r="64" customFormat="false" ht="15" hidden="false" customHeight="true" outlineLevel="0" collapsed="false">
      <c r="A64" s="27"/>
      <c r="B64" s="30"/>
      <c r="C64" s="29"/>
      <c r="D64" s="20" t="n">
        <f aca="false">IFERROR(B64*C64,0)</f>
        <v>0</v>
      </c>
      <c r="E64" s="25" t="n">
        <f aca="false">IFERROR(IF(B64=0,0,D64/B64),0)</f>
        <v>0</v>
      </c>
      <c r="F64" s="28"/>
      <c r="G64" s="28"/>
      <c r="H64" s="30"/>
    </row>
    <row r="65" customFormat="false" ht="15" hidden="false" customHeight="true" outlineLevel="0" collapsed="false">
      <c r="A65" s="27"/>
      <c r="B65" s="30"/>
      <c r="C65" s="29"/>
      <c r="D65" s="20" t="n">
        <f aca="false">IFERROR(B65*C65,0)</f>
        <v>0</v>
      </c>
      <c r="E65" s="25" t="n">
        <f aca="false">IFERROR(IF(B65=0,0,D65/B65),0)</f>
        <v>0</v>
      </c>
      <c r="F65" s="28"/>
      <c r="G65" s="28"/>
      <c r="H65" s="30"/>
    </row>
    <row r="66" customFormat="false" ht="15" hidden="false" customHeight="true" outlineLevel="0" collapsed="false">
      <c r="A66" s="27"/>
      <c r="B66" s="30"/>
      <c r="C66" s="29"/>
      <c r="D66" s="20" t="n">
        <f aca="false">IFERROR(B66*C66,0)</f>
        <v>0</v>
      </c>
      <c r="E66" s="25" t="n">
        <f aca="false">IFERROR(IF(B66=0,0,D66/B66),0)</f>
        <v>0</v>
      </c>
      <c r="F66" s="28"/>
      <c r="G66" s="28"/>
      <c r="H66" s="30"/>
    </row>
    <row r="67" customFormat="false" ht="15" hidden="false" customHeight="true" outlineLevel="0" collapsed="false">
      <c r="A67" s="27"/>
      <c r="B67" s="30"/>
      <c r="C67" s="29"/>
      <c r="D67" s="20" t="n">
        <f aca="false">IFERROR(B67*C67,0)</f>
        <v>0</v>
      </c>
      <c r="E67" s="25" t="n">
        <f aca="false">IFERROR(IF(B67=0,0,D67/B67),0)</f>
        <v>0</v>
      </c>
      <c r="F67" s="28"/>
      <c r="G67" s="28"/>
      <c r="H67" s="30"/>
    </row>
    <row r="68" customFormat="false" ht="15" hidden="false" customHeight="true" outlineLevel="0" collapsed="false">
      <c r="A68" s="27"/>
      <c r="B68" s="30"/>
      <c r="C68" s="29"/>
      <c r="D68" s="20" t="n">
        <f aca="false">IFERROR(B68*C68,0)</f>
        <v>0</v>
      </c>
      <c r="E68" s="25" t="n">
        <f aca="false">IFERROR(IF(B68=0,0,D68/B68),0)</f>
        <v>0</v>
      </c>
      <c r="F68" s="28"/>
      <c r="G68" s="28"/>
      <c r="H68" s="30"/>
    </row>
    <row r="69" customFormat="false" ht="15" hidden="false" customHeight="true" outlineLevel="0" collapsed="false">
      <c r="A69" s="27"/>
      <c r="B69" s="30"/>
      <c r="C69" s="29"/>
      <c r="D69" s="20" t="n">
        <f aca="false">IFERROR(B69*C69,0)</f>
        <v>0</v>
      </c>
      <c r="E69" s="25" t="n">
        <f aca="false">IFERROR(IF(B69=0,0,D69/B69),0)</f>
        <v>0</v>
      </c>
      <c r="F69" s="28"/>
      <c r="G69" s="28"/>
      <c r="H69" s="30"/>
    </row>
    <row r="70" customFormat="false" ht="15" hidden="false" customHeight="true" outlineLevel="0" collapsed="false">
      <c r="A70" s="27"/>
      <c r="B70" s="30"/>
      <c r="C70" s="29"/>
      <c r="D70" s="20" t="n">
        <f aca="false">IFERROR(B70*C70,0)</f>
        <v>0</v>
      </c>
      <c r="E70" s="25" t="n">
        <f aca="false">IFERROR(IF(B70=0,0,D70/B70),0)</f>
        <v>0</v>
      </c>
      <c r="F70" s="28"/>
      <c r="G70" s="28"/>
      <c r="H70" s="30"/>
    </row>
    <row r="71" customFormat="false" ht="15" hidden="false" customHeight="true" outlineLevel="0" collapsed="false">
      <c r="A71" s="27"/>
      <c r="B71" s="30"/>
      <c r="C71" s="29"/>
      <c r="D71" s="20" t="n">
        <f aca="false">IFERROR(B71*C71,0)</f>
        <v>0</v>
      </c>
      <c r="E71" s="25" t="n">
        <f aca="false">IFERROR(IF(B71=0,0,D71/B71),0)</f>
        <v>0</v>
      </c>
      <c r="F71" s="28"/>
      <c r="G71" s="28"/>
      <c r="H71" s="30"/>
    </row>
    <row r="72" customFormat="false" ht="15" hidden="false" customHeight="true" outlineLevel="0" collapsed="false">
      <c r="A72" s="27"/>
      <c r="B72" s="30"/>
      <c r="C72" s="29"/>
      <c r="D72" s="20" t="n">
        <f aca="false">IFERROR(B72*C72,0)</f>
        <v>0</v>
      </c>
      <c r="E72" s="25" t="n">
        <f aca="false">IFERROR(IF(B72=0,0,D72/B72),0)</f>
        <v>0</v>
      </c>
      <c r="F72" s="28"/>
      <c r="G72" s="28"/>
      <c r="H72" s="30"/>
    </row>
    <row r="73" customFormat="false" ht="15" hidden="false" customHeight="true" outlineLevel="0" collapsed="false">
      <c r="A73" s="27"/>
      <c r="B73" s="30"/>
      <c r="C73" s="29"/>
      <c r="D73" s="20" t="n">
        <f aca="false">IFERROR(B73*C73,0)</f>
        <v>0</v>
      </c>
      <c r="E73" s="25" t="n">
        <f aca="false">IFERROR(IF(B73=0,0,D73/B73),0)</f>
        <v>0</v>
      </c>
      <c r="F73" s="28"/>
      <c r="G73" s="28"/>
      <c r="H73" s="30"/>
    </row>
    <row r="74" customFormat="false" ht="15" hidden="false" customHeight="true" outlineLevel="0" collapsed="false">
      <c r="A74" s="27"/>
      <c r="B74" s="30"/>
      <c r="C74" s="29"/>
      <c r="D74" s="20" t="n">
        <f aca="false">IFERROR(B74*C74,0)</f>
        <v>0</v>
      </c>
      <c r="E74" s="25" t="n">
        <f aca="false">IFERROR(IF(B74=0,0,D74/B74),0)</f>
        <v>0</v>
      </c>
      <c r="F74" s="28"/>
      <c r="G74" s="28"/>
      <c r="H74" s="30"/>
    </row>
    <row r="75" customFormat="false" ht="15" hidden="false" customHeight="true" outlineLevel="0" collapsed="false">
      <c r="A75" s="27"/>
      <c r="B75" s="30"/>
      <c r="C75" s="29"/>
      <c r="D75" s="20" t="n">
        <f aca="false">IFERROR(B75*C75,0)</f>
        <v>0</v>
      </c>
      <c r="E75" s="25" t="n">
        <f aca="false">IFERROR(IF(B75=0,0,D75/B75),0)</f>
        <v>0</v>
      </c>
      <c r="F75" s="28"/>
      <c r="G75" s="28"/>
      <c r="H75" s="30"/>
    </row>
    <row r="76" customFormat="false" ht="15" hidden="false" customHeight="true" outlineLevel="0" collapsed="false">
      <c r="A76" s="27"/>
      <c r="B76" s="30"/>
      <c r="C76" s="29"/>
      <c r="D76" s="20" t="n">
        <f aca="false">IFERROR(B76*C76,0)</f>
        <v>0</v>
      </c>
      <c r="E76" s="25" t="n">
        <f aca="false">IFERROR(IF(B76=0,0,D76/B76),0)</f>
        <v>0</v>
      </c>
      <c r="F76" s="28"/>
      <c r="G76" s="28"/>
      <c r="H76" s="30"/>
    </row>
    <row r="77" customFormat="false" ht="15" hidden="false" customHeight="true" outlineLevel="0" collapsed="false">
      <c r="A77" s="27"/>
      <c r="B77" s="30"/>
      <c r="C77" s="29"/>
      <c r="D77" s="20" t="n">
        <f aca="false">IFERROR(B77*C77,0)</f>
        <v>0</v>
      </c>
      <c r="E77" s="25" t="n">
        <f aca="false">IFERROR(IF(B77=0,0,D77/B77),0)</f>
        <v>0</v>
      </c>
      <c r="F77" s="28"/>
      <c r="G77" s="28"/>
      <c r="H77" s="30"/>
    </row>
    <row r="78" customFormat="false" ht="15" hidden="false" customHeight="true" outlineLevel="0" collapsed="false">
      <c r="A78" s="27"/>
      <c r="B78" s="30"/>
      <c r="C78" s="29"/>
      <c r="D78" s="20" t="n">
        <f aca="false">IFERROR(B78*C78,0)</f>
        <v>0</v>
      </c>
      <c r="E78" s="25" t="n">
        <f aca="false">IFERROR(IF(B78=0,0,D78/B78),0)</f>
        <v>0</v>
      </c>
      <c r="F78" s="28"/>
      <c r="G78" s="28"/>
      <c r="H78" s="30"/>
    </row>
    <row r="79" customFormat="false" ht="15" hidden="false" customHeight="true" outlineLevel="0" collapsed="false">
      <c r="A79" s="27"/>
      <c r="B79" s="30"/>
      <c r="C79" s="29"/>
      <c r="D79" s="20" t="n">
        <f aca="false">IFERROR(B79*C79,0)</f>
        <v>0</v>
      </c>
      <c r="E79" s="25" t="n">
        <f aca="false">IFERROR(IF(B79=0,0,D79/B79),0)</f>
        <v>0</v>
      </c>
      <c r="F79" s="28"/>
      <c r="G79" s="28"/>
      <c r="H79" s="30"/>
    </row>
    <row r="80" customFormat="false" ht="15" hidden="false" customHeight="true" outlineLevel="0" collapsed="false">
      <c r="A80" s="27"/>
      <c r="B80" s="30"/>
      <c r="C80" s="29"/>
      <c r="D80" s="20" t="n">
        <f aca="false">IFERROR(B80*C80,0)</f>
        <v>0</v>
      </c>
      <c r="E80" s="25" t="n">
        <f aca="false">IFERROR(IF(B80=0,0,D80/B80),0)</f>
        <v>0</v>
      </c>
      <c r="F80" s="28"/>
      <c r="G80" s="28"/>
      <c r="H80" s="30"/>
    </row>
    <row r="81" customFormat="false" ht="15" hidden="false" customHeight="true" outlineLevel="0" collapsed="false">
      <c r="A81" s="27"/>
      <c r="B81" s="30"/>
      <c r="C81" s="29"/>
      <c r="D81" s="20" t="n">
        <f aca="false">IFERROR(B81*C81,0)</f>
        <v>0</v>
      </c>
      <c r="E81" s="25" t="n">
        <f aca="false">IFERROR(IF(B81=0,0,D81/B81),0)</f>
        <v>0</v>
      </c>
      <c r="F81" s="28"/>
      <c r="G81" s="28"/>
      <c r="H81" s="30"/>
    </row>
    <row r="82" customFormat="false" ht="15" hidden="false" customHeight="true" outlineLevel="0" collapsed="false">
      <c r="A82" s="27"/>
      <c r="B82" s="30"/>
      <c r="C82" s="29"/>
      <c r="D82" s="20" t="n">
        <f aca="false">IFERROR(B82*C82,0)</f>
        <v>0</v>
      </c>
      <c r="E82" s="25" t="n">
        <f aca="false">IFERROR(IF(B82=0,0,D82/B82),0)</f>
        <v>0</v>
      </c>
      <c r="F82" s="28"/>
      <c r="G82" s="28"/>
      <c r="H82" s="30"/>
    </row>
    <row r="83" customFormat="false" ht="15" hidden="false" customHeight="true" outlineLevel="0" collapsed="false">
      <c r="A83" s="27"/>
      <c r="B83" s="30"/>
      <c r="C83" s="29"/>
      <c r="D83" s="20" t="n">
        <f aca="false">IFERROR(B83*C83,0)</f>
        <v>0</v>
      </c>
      <c r="E83" s="25" t="n">
        <f aca="false">IFERROR(IF(B83=0,0,D83/B83),0)</f>
        <v>0</v>
      </c>
      <c r="F83" s="28"/>
      <c r="G83" s="28"/>
      <c r="H83" s="30"/>
    </row>
    <row r="84" customFormat="false" ht="15" hidden="false" customHeight="true" outlineLevel="0" collapsed="false">
      <c r="A84" s="27"/>
      <c r="B84" s="30"/>
      <c r="C84" s="29"/>
      <c r="D84" s="20" t="n">
        <f aca="false">IFERROR(B84*C84,0)</f>
        <v>0</v>
      </c>
      <c r="E84" s="25" t="n">
        <f aca="false">IFERROR(IF(B84=0,0,D84/B84),0)</f>
        <v>0</v>
      </c>
      <c r="F84" s="28"/>
      <c r="G84" s="28"/>
      <c r="H84" s="30"/>
    </row>
    <row r="85" customFormat="false" ht="15" hidden="false" customHeight="true" outlineLevel="0" collapsed="false">
      <c r="A85" s="27"/>
      <c r="B85" s="30"/>
      <c r="C85" s="29"/>
      <c r="D85" s="20" t="n">
        <f aca="false">IFERROR(B85*C85,0)</f>
        <v>0</v>
      </c>
      <c r="E85" s="25" t="n">
        <f aca="false">IFERROR(IF(B85=0,0,D85/B85),0)</f>
        <v>0</v>
      </c>
      <c r="F85" s="28"/>
      <c r="G85" s="28"/>
      <c r="H85" s="30"/>
    </row>
    <row r="86" customFormat="false" ht="15" hidden="false" customHeight="true" outlineLevel="0" collapsed="false">
      <c r="A86" s="27"/>
      <c r="B86" s="30"/>
      <c r="C86" s="29"/>
      <c r="D86" s="20" t="n">
        <f aca="false">IFERROR(B86*C86,0)</f>
        <v>0</v>
      </c>
      <c r="E86" s="25" t="n">
        <f aca="false">IFERROR(IF(B86=0,0,D86/B86),0)</f>
        <v>0</v>
      </c>
      <c r="F86" s="28"/>
      <c r="G86" s="28"/>
      <c r="H86" s="30"/>
    </row>
    <row r="87" customFormat="false" ht="15" hidden="false" customHeight="true" outlineLevel="0" collapsed="false">
      <c r="A87" s="27"/>
      <c r="B87" s="30"/>
      <c r="C87" s="29"/>
      <c r="D87" s="20" t="n">
        <f aca="false">IFERROR(B87*C87,0)</f>
        <v>0</v>
      </c>
      <c r="E87" s="25" t="n">
        <f aca="false">IFERROR(IF(B87=0,0,D87/B87),0)</f>
        <v>0</v>
      </c>
      <c r="F87" s="28"/>
      <c r="G87" s="28"/>
      <c r="H87" s="30"/>
    </row>
    <row r="88" customFormat="false" ht="15" hidden="false" customHeight="true" outlineLevel="0" collapsed="false">
      <c r="A88" s="27"/>
      <c r="B88" s="30"/>
      <c r="C88" s="29"/>
      <c r="D88" s="20" t="n">
        <f aca="false">IFERROR(B88*C88,0)</f>
        <v>0</v>
      </c>
      <c r="E88" s="25" t="n">
        <f aca="false">IFERROR(IF(B88=0,0,D88/B88),0)</f>
        <v>0</v>
      </c>
      <c r="F88" s="28"/>
      <c r="G88" s="28"/>
      <c r="H88" s="30"/>
    </row>
    <row r="89" customFormat="false" ht="15" hidden="false" customHeight="true" outlineLevel="0" collapsed="false">
      <c r="A89" s="27"/>
      <c r="B89" s="30"/>
      <c r="C89" s="29"/>
      <c r="D89" s="20" t="n">
        <f aca="false">IFERROR(B89*C89,0)</f>
        <v>0</v>
      </c>
      <c r="E89" s="25" t="n">
        <f aca="false">IFERROR(IF(B89=0,0,D89/B89),0)</f>
        <v>0</v>
      </c>
      <c r="F89" s="28"/>
      <c r="G89" s="28"/>
      <c r="H89" s="30"/>
    </row>
    <row r="90" customFormat="false" ht="15" hidden="false" customHeight="true" outlineLevel="0" collapsed="false">
      <c r="A90" s="27"/>
      <c r="B90" s="30"/>
      <c r="C90" s="29"/>
      <c r="D90" s="20" t="n">
        <f aca="false">IFERROR(B90*C90,0)</f>
        <v>0</v>
      </c>
      <c r="E90" s="25" t="n">
        <f aca="false">IFERROR(IF(B90=0,0,D90/B90),0)</f>
        <v>0</v>
      </c>
      <c r="F90" s="28"/>
      <c r="G90" s="28"/>
      <c r="H90" s="30"/>
    </row>
    <row r="91" customFormat="false" ht="15" hidden="false" customHeight="true" outlineLevel="0" collapsed="false">
      <c r="A91" s="27"/>
      <c r="B91" s="30"/>
      <c r="C91" s="29"/>
      <c r="D91" s="20" t="n">
        <f aca="false">IFERROR(B91*C91,0)</f>
        <v>0</v>
      </c>
      <c r="E91" s="25" t="n">
        <f aca="false">IFERROR(IF(B91=0,0,D91/B91),0)</f>
        <v>0</v>
      </c>
      <c r="F91" s="28"/>
      <c r="G91" s="28"/>
      <c r="H91" s="30"/>
    </row>
    <row r="92" customFormat="false" ht="15" hidden="false" customHeight="true" outlineLevel="0" collapsed="false">
      <c r="A92" s="27"/>
      <c r="B92" s="30"/>
      <c r="C92" s="29"/>
      <c r="D92" s="20" t="n">
        <f aca="false">IFERROR(B92*C92,0)</f>
        <v>0</v>
      </c>
      <c r="E92" s="25" t="n">
        <f aca="false">IFERROR(IF(B92=0,0,D92/B92),0)</f>
        <v>0</v>
      </c>
      <c r="F92" s="28"/>
      <c r="G92" s="28"/>
      <c r="H92" s="30"/>
    </row>
    <row r="93" customFormat="false" ht="15" hidden="false" customHeight="true" outlineLevel="0" collapsed="false">
      <c r="A93" s="27"/>
      <c r="B93" s="30"/>
      <c r="C93" s="29"/>
      <c r="D93" s="20" t="n">
        <f aca="false">IFERROR(B93*C93,0)</f>
        <v>0</v>
      </c>
      <c r="E93" s="25" t="n">
        <f aca="false">IFERROR(IF(B93=0,0,D93/B93),0)</f>
        <v>0</v>
      </c>
      <c r="F93" s="28"/>
      <c r="G93" s="28"/>
      <c r="H93" s="30"/>
    </row>
    <row r="94" customFormat="false" ht="15" hidden="false" customHeight="true" outlineLevel="0" collapsed="false">
      <c r="A94" s="27"/>
      <c r="B94" s="30"/>
      <c r="C94" s="29"/>
      <c r="D94" s="20" t="n">
        <f aca="false">IFERROR(B94*C94,0)</f>
        <v>0</v>
      </c>
      <c r="E94" s="25" t="n">
        <f aca="false">IFERROR(IF(B94=0,0,D94/B94),0)</f>
        <v>0</v>
      </c>
      <c r="F94" s="28"/>
      <c r="G94" s="28"/>
      <c r="H94" s="30"/>
    </row>
    <row r="95" customFormat="false" ht="15" hidden="false" customHeight="true" outlineLevel="0" collapsed="false">
      <c r="A95" s="27"/>
      <c r="B95" s="30"/>
      <c r="C95" s="29"/>
      <c r="D95" s="20" t="n">
        <f aca="false">IFERROR(B95*C95,0)</f>
        <v>0</v>
      </c>
      <c r="E95" s="25" t="n">
        <f aca="false">IFERROR(IF(B95=0,0,D95/B95),0)</f>
        <v>0</v>
      </c>
      <c r="F95" s="28"/>
      <c r="G95" s="28"/>
      <c r="H95" s="30"/>
    </row>
    <row r="96" customFormat="false" ht="15" hidden="false" customHeight="true" outlineLevel="0" collapsed="false">
      <c r="A96" s="27"/>
      <c r="B96" s="30"/>
      <c r="C96" s="29"/>
      <c r="D96" s="20" t="n">
        <f aca="false">IFERROR(B96*C96,0)</f>
        <v>0</v>
      </c>
      <c r="E96" s="25" t="n">
        <f aca="false">IFERROR(IF(B96=0,0,D96/B96),0)</f>
        <v>0</v>
      </c>
      <c r="F96" s="28"/>
      <c r="G96" s="28"/>
      <c r="H96" s="30"/>
    </row>
    <row r="97" customFormat="false" ht="15" hidden="false" customHeight="true" outlineLevel="0" collapsed="false">
      <c r="A97" s="27"/>
      <c r="B97" s="30"/>
      <c r="C97" s="29"/>
      <c r="D97" s="20" t="n">
        <f aca="false">IFERROR(B97*C97,0)</f>
        <v>0</v>
      </c>
      <c r="E97" s="25" t="n">
        <f aca="false">IFERROR(IF(B97=0,0,D97/B97),0)</f>
        <v>0</v>
      </c>
      <c r="F97" s="28"/>
      <c r="G97" s="28"/>
      <c r="H97" s="30"/>
    </row>
    <row r="98" customFormat="false" ht="15" hidden="false" customHeight="true" outlineLevel="0" collapsed="false">
      <c r="A98" s="27"/>
      <c r="B98" s="30"/>
      <c r="C98" s="29"/>
      <c r="D98" s="20" t="n">
        <f aca="false">IFERROR(B98*C98,0)</f>
        <v>0</v>
      </c>
      <c r="E98" s="25" t="n">
        <f aca="false">IFERROR(IF(B98=0,0,D98/B98),0)</f>
        <v>0</v>
      </c>
      <c r="F98" s="28"/>
      <c r="G98" s="28"/>
      <c r="H98" s="30"/>
    </row>
    <row r="99" customFormat="false" ht="15" hidden="false" customHeight="true" outlineLevel="0" collapsed="false">
      <c r="A99" s="27"/>
      <c r="B99" s="30"/>
      <c r="C99" s="29"/>
      <c r="D99" s="20" t="n">
        <f aca="false">IFERROR(B99*C99,0)</f>
        <v>0</v>
      </c>
      <c r="E99" s="25" t="n">
        <f aca="false">IFERROR(IF(B99=0,0,D99/B99),0)</f>
        <v>0</v>
      </c>
      <c r="F99" s="28"/>
      <c r="G99" s="28"/>
      <c r="H99" s="30"/>
    </row>
    <row r="100" customFormat="false" ht="15" hidden="false" customHeight="true" outlineLevel="0" collapsed="false">
      <c r="A100" s="27"/>
      <c r="B100" s="30"/>
      <c r="C100" s="29"/>
      <c r="D100" s="20" t="n">
        <f aca="false">IFERROR(B100*C100,0)</f>
        <v>0</v>
      </c>
      <c r="E100" s="25" t="n">
        <f aca="false">IFERROR(IF(B100=0,0,D100/B100),0)</f>
        <v>0</v>
      </c>
      <c r="F100" s="28"/>
      <c r="G100" s="28"/>
      <c r="H100" s="30"/>
    </row>
    <row r="101" customFormat="false" ht="15" hidden="false" customHeight="true" outlineLevel="0" collapsed="false">
      <c r="A101" s="27"/>
      <c r="B101" s="30"/>
      <c r="C101" s="29"/>
      <c r="D101" s="20" t="n">
        <f aca="false">IFERROR(B101*C101,0)</f>
        <v>0</v>
      </c>
      <c r="E101" s="25" t="n">
        <f aca="false">IFERROR(IF(B101=0,0,D101/B101),0)</f>
        <v>0</v>
      </c>
      <c r="F101" s="28"/>
      <c r="G101" s="28"/>
      <c r="H101" s="30"/>
    </row>
    <row r="102" customFormat="false" ht="15" hidden="false" customHeight="true" outlineLevel="0" collapsed="false">
      <c r="A102" s="27"/>
      <c r="B102" s="30"/>
      <c r="C102" s="29"/>
      <c r="D102" s="20" t="n">
        <f aca="false">IFERROR(B102*C102,0)</f>
        <v>0</v>
      </c>
      <c r="E102" s="25" t="n">
        <f aca="false">IFERROR(IF(B102=0,0,D102/B102),0)</f>
        <v>0</v>
      </c>
      <c r="F102" s="28"/>
      <c r="G102" s="28"/>
      <c r="H102" s="30"/>
    </row>
    <row r="103" customFormat="false" ht="15" hidden="false" customHeight="true" outlineLevel="0" collapsed="false">
      <c r="A103" s="27"/>
      <c r="B103" s="30"/>
      <c r="C103" s="29"/>
      <c r="D103" s="20" t="n">
        <f aca="false">IFERROR(B103*C103,0)</f>
        <v>0</v>
      </c>
      <c r="E103" s="25" t="n">
        <f aca="false">IFERROR(IF(B103=0,0,D103/B103),0)</f>
        <v>0</v>
      </c>
      <c r="F103" s="28"/>
      <c r="G103" s="28"/>
      <c r="H103" s="30"/>
    </row>
    <row r="104" customFormat="false" ht="15" hidden="false" customHeight="true" outlineLevel="0" collapsed="false">
      <c r="A104" s="27"/>
      <c r="B104" s="30"/>
      <c r="C104" s="29"/>
      <c r="D104" s="20" t="n">
        <f aca="false">IFERROR(B104*C104,0)</f>
        <v>0</v>
      </c>
      <c r="E104" s="25" t="n">
        <f aca="false">IFERROR(IF(B104=0,0,D104/B104),0)</f>
        <v>0</v>
      </c>
      <c r="F104" s="28"/>
      <c r="G104" s="28"/>
      <c r="H104" s="30"/>
    </row>
    <row r="105" customFormat="false" ht="15" hidden="false" customHeight="true" outlineLevel="0" collapsed="false">
      <c r="A105" s="27"/>
      <c r="B105" s="30"/>
      <c r="C105" s="29"/>
      <c r="D105" s="20" t="n">
        <f aca="false">IFERROR(B105*C105,0)</f>
        <v>0</v>
      </c>
      <c r="E105" s="25" t="n">
        <f aca="false">IFERROR(IF(B105=0,0,D105/B105),0)</f>
        <v>0</v>
      </c>
      <c r="F105" s="28"/>
      <c r="G105" s="28"/>
      <c r="H105" s="30"/>
    </row>
    <row r="106" customFormat="false" ht="15" hidden="false" customHeight="true" outlineLevel="0" collapsed="false">
      <c r="A106" s="27"/>
      <c r="B106" s="30"/>
      <c r="C106" s="29"/>
      <c r="D106" s="20" t="n">
        <f aca="false">IFERROR(B106*C106,0)</f>
        <v>0</v>
      </c>
      <c r="E106" s="25" t="n">
        <f aca="false">IFERROR(IF(B106=0,0,D106/B106),0)</f>
        <v>0</v>
      </c>
      <c r="F106" s="28"/>
      <c r="G106" s="28"/>
      <c r="H106" s="30"/>
    </row>
    <row r="107" customFormat="false" ht="15" hidden="false" customHeight="true" outlineLevel="0" collapsed="false">
      <c r="A107" s="27"/>
      <c r="B107" s="30"/>
      <c r="C107" s="29"/>
      <c r="D107" s="20" t="n">
        <f aca="false">IFERROR(B107*C107,0)</f>
        <v>0</v>
      </c>
      <c r="E107" s="25" t="n">
        <f aca="false">IFERROR(IF(B107=0,0,D107/B107),0)</f>
        <v>0</v>
      </c>
      <c r="F107" s="28"/>
      <c r="G107" s="28"/>
      <c r="H107" s="30"/>
    </row>
    <row r="108" customFormat="false" ht="15" hidden="false" customHeight="true" outlineLevel="0" collapsed="false">
      <c r="A108" s="27"/>
      <c r="B108" s="30"/>
      <c r="C108" s="29"/>
      <c r="D108" s="20" t="n">
        <f aca="false">IFERROR(B108*C108,0)</f>
        <v>0</v>
      </c>
      <c r="E108" s="25" t="n">
        <f aca="false">IFERROR(IF(B108=0,0,D108/B108),0)</f>
        <v>0</v>
      </c>
      <c r="F108" s="28"/>
      <c r="G108" s="28"/>
      <c r="H108" s="30"/>
    </row>
    <row r="109" customFormat="false" ht="15" hidden="false" customHeight="true" outlineLevel="0" collapsed="false">
      <c r="A109" s="27"/>
      <c r="B109" s="30"/>
      <c r="C109" s="29"/>
      <c r="D109" s="20" t="n">
        <f aca="false">IFERROR(B109*C109,0)</f>
        <v>0</v>
      </c>
      <c r="E109" s="25" t="n">
        <f aca="false">IFERROR(IF(B109=0,0,D109/B109),0)</f>
        <v>0</v>
      </c>
      <c r="F109" s="28"/>
      <c r="G109" s="28"/>
      <c r="H109" s="30"/>
    </row>
    <row r="110" customFormat="false" ht="15" hidden="false" customHeight="true" outlineLevel="0" collapsed="false">
      <c r="A110" s="27"/>
      <c r="B110" s="30"/>
      <c r="C110" s="29"/>
      <c r="D110" s="20" t="n">
        <f aca="false">IFERROR(B110*C110,0)</f>
        <v>0</v>
      </c>
      <c r="E110" s="25" t="n">
        <f aca="false">IFERROR(IF(B110=0,0,D110/B110),0)</f>
        <v>0</v>
      </c>
      <c r="F110" s="28"/>
      <c r="G110" s="28"/>
      <c r="H110" s="30"/>
    </row>
    <row r="111" customFormat="false" ht="15" hidden="false" customHeight="true" outlineLevel="0" collapsed="false">
      <c r="A111" s="27"/>
      <c r="B111" s="30"/>
      <c r="C111" s="29"/>
      <c r="D111" s="20" t="n">
        <f aca="false">IFERROR(B111*C111,0)</f>
        <v>0</v>
      </c>
      <c r="E111" s="25" t="n">
        <f aca="false">IFERROR(IF(B111=0,0,D111/B111),0)</f>
        <v>0</v>
      </c>
      <c r="F111" s="28"/>
      <c r="G111" s="28"/>
      <c r="H111" s="30"/>
    </row>
    <row r="112" customFormat="false" ht="15" hidden="false" customHeight="true" outlineLevel="0" collapsed="false">
      <c r="A112" s="27"/>
      <c r="B112" s="30"/>
      <c r="C112" s="29"/>
      <c r="D112" s="20" t="n">
        <f aca="false">IFERROR(B112*C112,0)</f>
        <v>0</v>
      </c>
      <c r="E112" s="25" t="n">
        <f aca="false">IFERROR(IF(B112=0,0,D112/B112),0)</f>
        <v>0</v>
      </c>
      <c r="F112" s="28"/>
      <c r="G112" s="28"/>
      <c r="H112" s="30"/>
    </row>
    <row r="113" customFormat="false" ht="15" hidden="false" customHeight="true" outlineLevel="0" collapsed="false">
      <c r="A113" s="27"/>
      <c r="B113" s="30"/>
      <c r="C113" s="29"/>
      <c r="D113" s="20" t="n">
        <f aca="false">IFERROR(B113*C113,0)</f>
        <v>0</v>
      </c>
      <c r="E113" s="25" t="n">
        <f aca="false">IFERROR(IF(B113=0,0,D113/B113),0)</f>
        <v>0</v>
      </c>
      <c r="F113" s="28"/>
      <c r="G113" s="28"/>
      <c r="H113" s="30"/>
    </row>
    <row r="114" customFormat="false" ht="15" hidden="false" customHeight="true" outlineLevel="0" collapsed="false">
      <c r="A114" s="27"/>
      <c r="B114" s="30"/>
      <c r="C114" s="29"/>
      <c r="D114" s="20" t="n">
        <f aca="false">IFERROR(B114*C114,0)</f>
        <v>0</v>
      </c>
      <c r="E114" s="25" t="n">
        <f aca="false">IFERROR(IF(B114=0,0,D114/B114),0)</f>
        <v>0</v>
      </c>
      <c r="F114" s="28"/>
      <c r="G114" s="28"/>
      <c r="H114" s="30"/>
    </row>
    <row r="115" customFormat="false" ht="15" hidden="false" customHeight="true" outlineLevel="0" collapsed="false">
      <c r="A115" s="27"/>
      <c r="B115" s="30"/>
      <c r="C115" s="29"/>
      <c r="D115" s="20" t="n">
        <f aca="false">IFERROR(B115*C115,0)</f>
        <v>0</v>
      </c>
      <c r="E115" s="25" t="n">
        <f aca="false">IFERROR(IF(B115=0,0,D115/B115),0)</f>
        <v>0</v>
      </c>
      <c r="F115" s="28"/>
      <c r="G115" s="28"/>
      <c r="H115" s="30"/>
    </row>
    <row r="116" customFormat="false" ht="15" hidden="false" customHeight="true" outlineLevel="0" collapsed="false">
      <c r="A116" s="27"/>
      <c r="B116" s="30"/>
      <c r="C116" s="29"/>
      <c r="D116" s="20" t="n">
        <f aca="false">IFERROR(B116*C116,0)</f>
        <v>0</v>
      </c>
      <c r="E116" s="25" t="n">
        <f aca="false">IFERROR(IF(B116=0,0,D116/B116),0)</f>
        <v>0</v>
      </c>
      <c r="F116" s="28"/>
      <c r="G116" s="28"/>
      <c r="H116" s="30"/>
    </row>
    <row r="117" customFormat="false" ht="15" hidden="false" customHeight="true" outlineLevel="0" collapsed="false">
      <c r="A117" s="27"/>
      <c r="B117" s="30"/>
      <c r="C117" s="29"/>
      <c r="D117" s="20" t="n">
        <f aca="false">IFERROR(B117*C117,0)</f>
        <v>0</v>
      </c>
      <c r="E117" s="25" t="n">
        <f aca="false">IFERROR(IF(B117=0,0,D117/B117),0)</f>
        <v>0</v>
      </c>
      <c r="F117" s="28"/>
      <c r="G117" s="28"/>
      <c r="H117" s="30"/>
    </row>
    <row r="118" customFormat="false" ht="15" hidden="false" customHeight="true" outlineLevel="0" collapsed="false">
      <c r="A118" s="27"/>
      <c r="B118" s="30"/>
      <c r="C118" s="29"/>
      <c r="D118" s="20" t="n">
        <f aca="false">IFERROR(B118*C118,0)</f>
        <v>0</v>
      </c>
      <c r="E118" s="25" t="n">
        <f aca="false">IFERROR(IF(B118=0,0,D118/B118),0)</f>
        <v>0</v>
      </c>
      <c r="F118" s="28"/>
      <c r="G118" s="28"/>
      <c r="H118" s="30"/>
    </row>
    <row r="119" customFormat="false" ht="15" hidden="false" customHeight="true" outlineLevel="0" collapsed="false">
      <c r="A119" s="27"/>
      <c r="B119" s="30"/>
      <c r="C119" s="29"/>
      <c r="D119" s="20" t="n">
        <f aca="false">IFERROR(B119*C119,0)</f>
        <v>0</v>
      </c>
      <c r="E119" s="25" t="n">
        <f aca="false">IFERROR(IF(B119=0,0,D119/B119),0)</f>
        <v>0</v>
      </c>
      <c r="F119" s="28"/>
      <c r="G119" s="28"/>
      <c r="H119" s="30"/>
    </row>
    <row r="120" customFormat="false" ht="15" hidden="false" customHeight="true" outlineLevel="0" collapsed="false">
      <c r="A120" s="27"/>
      <c r="B120" s="30"/>
      <c r="C120" s="29"/>
      <c r="D120" s="20" t="n">
        <f aca="false">IFERROR(B120*C120,0)</f>
        <v>0</v>
      </c>
      <c r="E120" s="25" t="n">
        <f aca="false">IFERROR(IF(B120=0,0,D120/B120),0)</f>
        <v>0</v>
      </c>
      <c r="F120" s="28"/>
      <c r="G120" s="28"/>
      <c r="H120" s="30"/>
    </row>
    <row r="121" customFormat="false" ht="15" hidden="false" customHeight="true" outlineLevel="0" collapsed="false">
      <c r="A121" s="27"/>
      <c r="B121" s="30"/>
      <c r="C121" s="29"/>
      <c r="D121" s="20" t="n">
        <f aca="false">IFERROR(B121*C121,0)</f>
        <v>0</v>
      </c>
      <c r="E121" s="25" t="n">
        <f aca="false">IFERROR(IF(B121=0,0,D121/B121),0)</f>
        <v>0</v>
      </c>
      <c r="F121" s="28"/>
      <c r="G121" s="28"/>
      <c r="H121" s="30"/>
    </row>
    <row r="122" customFormat="false" ht="15" hidden="false" customHeight="true" outlineLevel="0" collapsed="false">
      <c r="A122" s="27"/>
      <c r="B122" s="30"/>
      <c r="C122" s="29"/>
      <c r="D122" s="20" t="n">
        <f aca="false">IFERROR(B122*C122,0)</f>
        <v>0</v>
      </c>
      <c r="E122" s="25" t="n">
        <f aca="false">IFERROR(IF(B122=0,0,D122/B122),0)</f>
        <v>0</v>
      </c>
      <c r="F122" s="28"/>
      <c r="G122" s="28"/>
      <c r="H122" s="30"/>
    </row>
    <row r="123" customFormat="false" ht="15" hidden="false" customHeight="true" outlineLevel="0" collapsed="false">
      <c r="A123" s="27"/>
      <c r="B123" s="30"/>
      <c r="C123" s="29"/>
      <c r="D123" s="20" t="n">
        <f aca="false">IFERROR(B123*C123,0)</f>
        <v>0</v>
      </c>
      <c r="E123" s="25" t="n">
        <f aca="false">IFERROR(IF(B123=0,0,D123/B123),0)</f>
        <v>0</v>
      </c>
      <c r="F123" s="28"/>
      <c r="G123" s="28"/>
      <c r="H123" s="30"/>
    </row>
    <row r="124" customFormat="false" ht="15" hidden="false" customHeight="true" outlineLevel="0" collapsed="false">
      <c r="A124" s="27"/>
      <c r="B124" s="30"/>
      <c r="C124" s="29"/>
      <c r="D124" s="20" t="n">
        <f aca="false">IFERROR(B124*C124,0)</f>
        <v>0</v>
      </c>
      <c r="E124" s="25" t="n">
        <f aca="false">IFERROR(IF(B124=0,0,D124/B124),0)</f>
        <v>0</v>
      </c>
      <c r="F124" s="28"/>
      <c r="G124" s="28"/>
      <c r="H124" s="30"/>
    </row>
    <row r="125" customFormat="false" ht="15" hidden="false" customHeight="true" outlineLevel="0" collapsed="false">
      <c r="A125" s="27"/>
      <c r="B125" s="30"/>
      <c r="C125" s="29"/>
      <c r="D125" s="20" t="n">
        <f aca="false">IFERROR(B125*C125,0)</f>
        <v>0</v>
      </c>
      <c r="E125" s="25" t="n">
        <f aca="false">IFERROR(IF(B125=0,0,D125/B125),0)</f>
        <v>0</v>
      </c>
      <c r="F125" s="28"/>
      <c r="G125" s="28"/>
      <c r="H125" s="30"/>
    </row>
    <row r="126" customFormat="false" ht="15" hidden="false" customHeight="true" outlineLevel="0" collapsed="false">
      <c r="A126" s="27"/>
      <c r="B126" s="30"/>
      <c r="C126" s="29"/>
      <c r="D126" s="20" t="n">
        <f aca="false">IFERROR(B126*C126,0)</f>
        <v>0</v>
      </c>
      <c r="E126" s="25" t="n">
        <f aca="false">IFERROR(IF(B126=0,0,D126/B126),0)</f>
        <v>0</v>
      </c>
      <c r="F126" s="28"/>
      <c r="G126" s="28"/>
      <c r="H126" s="30"/>
    </row>
    <row r="127" customFormat="false" ht="15" hidden="false" customHeight="true" outlineLevel="0" collapsed="false">
      <c r="A127" s="27"/>
      <c r="B127" s="30"/>
      <c r="C127" s="29"/>
      <c r="D127" s="20" t="n">
        <f aca="false">IFERROR(B127*C127,0)</f>
        <v>0</v>
      </c>
      <c r="E127" s="25" t="n">
        <f aca="false">IFERROR(IF(B127=0,0,D127/B127),0)</f>
        <v>0</v>
      </c>
      <c r="F127" s="28"/>
      <c r="G127" s="28"/>
      <c r="H127" s="30"/>
    </row>
    <row r="128" customFormat="false" ht="15" hidden="false" customHeight="true" outlineLevel="0" collapsed="false">
      <c r="A128" s="27"/>
      <c r="B128" s="30"/>
      <c r="C128" s="29"/>
      <c r="D128" s="20" t="n">
        <f aca="false">IFERROR(B128*C128,0)</f>
        <v>0</v>
      </c>
      <c r="E128" s="25" t="n">
        <f aca="false">IFERROR(IF(B128=0,0,D128/B128),0)</f>
        <v>0</v>
      </c>
      <c r="F128" s="28"/>
      <c r="G128" s="28"/>
      <c r="H128" s="30"/>
    </row>
    <row r="129" customFormat="false" ht="15" hidden="false" customHeight="true" outlineLevel="0" collapsed="false">
      <c r="A129" s="27"/>
      <c r="B129" s="30"/>
      <c r="C129" s="29"/>
      <c r="D129" s="20" t="n">
        <f aca="false">IFERROR(B129*C129,0)</f>
        <v>0</v>
      </c>
      <c r="E129" s="25" t="n">
        <f aca="false">IFERROR(IF(B129=0,0,D129/B129),0)</f>
        <v>0</v>
      </c>
      <c r="F129" s="28"/>
      <c r="G129" s="28"/>
      <c r="H129" s="30"/>
    </row>
    <row r="130" customFormat="false" ht="15" hidden="false" customHeight="true" outlineLevel="0" collapsed="false">
      <c r="A130" s="27"/>
      <c r="B130" s="30"/>
      <c r="C130" s="29"/>
      <c r="D130" s="20" t="n">
        <f aca="false">IFERROR(B130*C130,0)</f>
        <v>0</v>
      </c>
      <c r="E130" s="25" t="n">
        <f aca="false">IFERROR(IF(B130=0,0,D130/B130),0)</f>
        <v>0</v>
      </c>
      <c r="F130" s="28"/>
      <c r="G130" s="28"/>
      <c r="H130" s="30"/>
    </row>
    <row r="131" customFormat="false" ht="15" hidden="false" customHeight="true" outlineLevel="0" collapsed="false">
      <c r="A131" s="27"/>
      <c r="B131" s="30"/>
      <c r="C131" s="29"/>
      <c r="D131" s="20" t="n">
        <f aca="false">IFERROR(B131*C131,0)</f>
        <v>0</v>
      </c>
      <c r="E131" s="25" t="n">
        <f aca="false">IFERROR(IF(B131=0,0,D131/B131),0)</f>
        <v>0</v>
      </c>
      <c r="F131" s="28"/>
      <c r="G131" s="28"/>
      <c r="H131" s="30"/>
    </row>
    <row r="132" customFormat="false" ht="15" hidden="false" customHeight="true" outlineLevel="0" collapsed="false">
      <c r="A132" s="27"/>
      <c r="B132" s="30"/>
      <c r="C132" s="29"/>
      <c r="D132" s="20" t="n">
        <f aca="false">IFERROR(B132*C132,0)</f>
        <v>0</v>
      </c>
      <c r="E132" s="25" t="n">
        <f aca="false">IFERROR(IF(B132=0,0,D132/B132),0)</f>
        <v>0</v>
      </c>
      <c r="F132" s="28"/>
      <c r="G132" s="28"/>
      <c r="H132" s="30"/>
    </row>
    <row r="133" customFormat="false" ht="15" hidden="false" customHeight="true" outlineLevel="0" collapsed="false">
      <c r="A133" s="27"/>
      <c r="B133" s="30"/>
      <c r="C133" s="29"/>
      <c r="D133" s="20" t="n">
        <f aca="false">IFERROR(B133*C133,0)</f>
        <v>0</v>
      </c>
      <c r="E133" s="25" t="n">
        <f aca="false">IFERROR(IF(B133=0,0,D133/B133),0)</f>
        <v>0</v>
      </c>
      <c r="F133" s="28"/>
      <c r="G133" s="28"/>
      <c r="H133" s="30"/>
    </row>
    <row r="134" customFormat="false" ht="15" hidden="false" customHeight="true" outlineLevel="0" collapsed="false">
      <c r="A134" s="27"/>
      <c r="B134" s="30"/>
      <c r="C134" s="29"/>
      <c r="D134" s="20" t="n">
        <f aca="false">IFERROR(B134*C134,0)</f>
        <v>0</v>
      </c>
      <c r="E134" s="25" t="n">
        <f aca="false">IFERROR(IF(B134=0,0,D134/B134),0)</f>
        <v>0</v>
      </c>
      <c r="F134" s="28"/>
      <c r="G134" s="28"/>
      <c r="H134" s="30"/>
    </row>
    <row r="135" customFormat="false" ht="15" hidden="false" customHeight="true" outlineLevel="0" collapsed="false">
      <c r="A135" s="27"/>
      <c r="B135" s="30"/>
      <c r="C135" s="29"/>
      <c r="D135" s="20" t="n">
        <f aca="false">IFERROR(B135*C135,0)</f>
        <v>0</v>
      </c>
      <c r="E135" s="25" t="n">
        <f aca="false">IFERROR(IF(B135=0,0,D135/B135),0)</f>
        <v>0</v>
      </c>
      <c r="F135" s="28"/>
      <c r="G135" s="28"/>
      <c r="H135" s="30"/>
    </row>
    <row r="136" customFormat="false" ht="15" hidden="false" customHeight="true" outlineLevel="0" collapsed="false">
      <c r="A136" s="27"/>
      <c r="B136" s="30"/>
      <c r="C136" s="29"/>
      <c r="D136" s="20" t="n">
        <f aca="false">IFERROR(B136*C136,0)</f>
        <v>0</v>
      </c>
      <c r="E136" s="25" t="n">
        <f aca="false">IFERROR(IF(B136=0,0,D136/B136),0)</f>
        <v>0</v>
      </c>
      <c r="F136" s="28"/>
      <c r="G136" s="28"/>
      <c r="H136" s="30"/>
    </row>
    <row r="137" customFormat="false" ht="15" hidden="false" customHeight="true" outlineLevel="0" collapsed="false">
      <c r="A137" s="27"/>
      <c r="B137" s="30"/>
      <c r="C137" s="29"/>
      <c r="D137" s="20" t="n">
        <f aca="false">IFERROR(B137*C137,0)</f>
        <v>0</v>
      </c>
      <c r="E137" s="25" t="n">
        <f aca="false">IFERROR(IF(B137=0,0,D137/B137),0)</f>
        <v>0</v>
      </c>
      <c r="F137" s="28"/>
      <c r="G137" s="28"/>
      <c r="H137" s="30"/>
    </row>
    <row r="138" customFormat="false" ht="15" hidden="false" customHeight="true" outlineLevel="0" collapsed="false">
      <c r="A138" s="27"/>
      <c r="B138" s="30"/>
      <c r="C138" s="29"/>
      <c r="D138" s="20" t="n">
        <f aca="false">IFERROR(B138*C138,0)</f>
        <v>0</v>
      </c>
      <c r="E138" s="25" t="n">
        <f aca="false">IFERROR(IF(B138=0,0,D138/B138),0)</f>
        <v>0</v>
      </c>
      <c r="F138" s="28"/>
      <c r="G138" s="28"/>
      <c r="H138" s="30"/>
    </row>
    <row r="139" customFormat="false" ht="15" hidden="false" customHeight="true" outlineLevel="0" collapsed="false">
      <c r="A139" s="27"/>
      <c r="B139" s="30"/>
      <c r="C139" s="29"/>
      <c r="D139" s="20" t="n">
        <f aca="false">IFERROR(B139*C139,0)</f>
        <v>0</v>
      </c>
      <c r="E139" s="25" t="n">
        <f aca="false">IFERROR(IF(B139=0,0,D139/B139),0)</f>
        <v>0</v>
      </c>
      <c r="F139" s="28"/>
      <c r="G139" s="28"/>
      <c r="H139" s="30"/>
    </row>
    <row r="140" customFormat="false" ht="15" hidden="false" customHeight="true" outlineLevel="0" collapsed="false">
      <c r="A140" s="27"/>
      <c r="B140" s="30"/>
      <c r="C140" s="29"/>
      <c r="D140" s="20" t="n">
        <f aca="false">IFERROR(B140*C140,0)</f>
        <v>0</v>
      </c>
      <c r="E140" s="25" t="n">
        <f aca="false">IFERROR(IF(B140=0,0,D140/B140),0)</f>
        <v>0</v>
      </c>
      <c r="F140" s="28"/>
      <c r="G140" s="28"/>
      <c r="H140" s="30"/>
    </row>
    <row r="141" customFormat="false" ht="15" hidden="false" customHeight="true" outlineLevel="0" collapsed="false">
      <c r="A141" s="27"/>
      <c r="B141" s="30"/>
      <c r="C141" s="29"/>
      <c r="D141" s="20" t="n">
        <f aca="false">IFERROR(B141*C141,0)</f>
        <v>0</v>
      </c>
      <c r="E141" s="25" t="n">
        <f aca="false">IFERROR(IF(B141=0,0,D141/B141),0)</f>
        <v>0</v>
      </c>
      <c r="F141" s="28"/>
      <c r="G141" s="28"/>
      <c r="H141" s="30"/>
    </row>
    <row r="142" customFormat="false" ht="15" hidden="false" customHeight="true" outlineLevel="0" collapsed="false">
      <c r="A142" s="27"/>
      <c r="B142" s="30"/>
      <c r="C142" s="29"/>
      <c r="D142" s="20" t="n">
        <f aca="false">IFERROR(B142*C142,0)</f>
        <v>0</v>
      </c>
      <c r="E142" s="25" t="n">
        <f aca="false">IFERROR(IF(B142=0,0,D142/B142),0)</f>
        <v>0</v>
      </c>
      <c r="F142" s="28"/>
      <c r="G142" s="28"/>
      <c r="H142" s="30"/>
    </row>
    <row r="143" customFormat="false" ht="15" hidden="false" customHeight="true" outlineLevel="0" collapsed="false">
      <c r="A143" s="27"/>
      <c r="B143" s="30"/>
      <c r="C143" s="29"/>
      <c r="D143" s="20" t="n">
        <f aca="false">IFERROR(B143*C143,0)</f>
        <v>0</v>
      </c>
      <c r="E143" s="25" t="n">
        <f aca="false">IFERROR(IF(B143=0,0,D143/B143),0)</f>
        <v>0</v>
      </c>
      <c r="F143" s="28"/>
      <c r="G143" s="28"/>
      <c r="H143" s="30"/>
    </row>
    <row r="144" customFormat="false" ht="15" hidden="false" customHeight="true" outlineLevel="0" collapsed="false">
      <c r="A144" s="27"/>
      <c r="B144" s="30"/>
      <c r="C144" s="29"/>
      <c r="D144" s="20" t="n">
        <f aca="false">IFERROR(B144*C144,0)</f>
        <v>0</v>
      </c>
      <c r="E144" s="25" t="n">
        <f aca="false">IFERROR(IF(B144=0,0,D144/B144),0)</f>
        <v>0</v>
      </c>
      <c r="F144" s="28"/>
      <c r="G144" s="28"/>
      <c r="H144" s="30"/>
    </row>
    <row r="145" customFormat="false" ht="15" hidden="false" customHeight="true" outlineLevel="0" collapsed="false">
      <c r="A145" s="27"/>
      <c r="B145" s="30"/>
      <c r="C145" s="29"/>
      <c r="D145" s="20" t="n">
        <f aca="false">IFERROR(B145*C145,0)</f>
        <v>0</v>
      </c>
      <c r="E145" s="25" t="n">
        <f aca="false">IFERROR(IF(B145=0,0,D145/B145),0)</f>
        <v>0</v>
      </c>
      <c r="F145" s="28"/>
      <c r="G145" s="28"/>
      <c r="H145" s="30"/>
    </row>
    <row r="146" customFormat="false" ht="15" hidden="false" customHeight="true" outlineLevel="0" collapsed="false">
      <c r="A146" s="27"/>
      <c r="B146" s="30"/>
      <c r="C146" s="29"/>
      <c r="D146" s="20" t="n">
        <f aca="false">IFERROR(B146*C146,0)</f>
        <v>0</v>
      </c>
      <c r="E146" s="25" t="n">
        <f aca="false">IFERROR(IF(B146=0,0,D146/B146),0)</f>
        <v>0</v>
      </c>
      <c r="F146" s="28"/>
      <c r="G146" s="28"/>
      <c r="H146" s="30"/>
    </row>
    <row r="147" customFormat="false" ht="15" hidden="false" customHeight="true" outlineLevel="0" collapsed="false">
      <c r="A147" s="27"/>
      <c r="B147" s="30"/>
      <c r="C147" s="29"/>
      <c r="D147" s="20" t="n">
        <f aca="false">IFERROR(B147*C147,0)</f>
        <v>0</v>
      </c>
      <c r="E147" s="25" t="n">
        <f aca="false">IFERROR(IF(B147=0,0,D147/B147),0)</f>
        <v>0</v>
      </c>
      <c r="F147" s="28"/>
      <c r="G147" s="28"/>
      <c r="H147" s="30"/>
    </row>
    <row r="148" customFormat="false" ht="15" hidden="false" customHeight="true" outlineLevel="0" collapsed="false">
      <c r="A148" s="27"/>
      <c r="B148" s="30"/>
      <c r="C148" s="29"/>
      <c r="D148" s="20" t="n">
        <f aca="false">IFERROR(B148*C148,0)</f>
        <v>0</v>
      </c>
      <c r="E148" s="25" t="n">
        <f aca="false">IFERROR(IF(B148=0,0,D148/B148),0)</f>
        <v>0</v>
      </c>
      <c r="F148" s="28"/>
      <c r="G148" s="28"/>
      <c r="H148" s="30"/>
    </row>
    <row r="149" customFormat="false" ht="15" hidden="false" customHeight="true" outlineLevel="0" collapsed="false">
      <c r="A149" s="27"/>
      <c r="B149" s="30"/>
      <c r="C149" s="29"/>
      <c r="D149" s="20" t="n">
        <f aca="false">IFERROR(B149*C149,0)</f>
        <v>0</v>
      </c>
      <c r="E149" s="25" t="n">
        <f aca="false">IFERROR(IF(B149=0,0,D149/B149),0)</f>
        <v>0</v>
      </c>
      <c r="F149" s="28"/>
      <c r="G149" s="28"/>
      <c r="H149" s="30"/>
    </row>
    <row r="150" customFormat="false" ht="15" hidden="false" customHeight="true" outlineLevel="0" collapsed="false">
      <c r="A150" s="27"/>
      <c r="B150" s="30"/>
      <c r="C150" s="29"/>
      <c r="D150" s="20" t="n">
        <f aca="false">IFERROR(B150*C150,0)</f>
        <v>0</v>
      </c>
      <c r="E150" s="25" t="n">
        <f aca="false">IFERROR(IF(B150=0,0,D150/B150),0)</f>
        <v>0</v>
      </c>
      <c r="F150" s="28"/>
      <c r="G150" s="28"/>
      <c r="H150" s="30"/>
    </row>
    <row r="151" customFormat="false" ht="15" hidden="false" customHeight="true" outlineLevel="0" collapsed="false">
      <c r="A151" s="27"/>
      <c r="B151" s="30"/>
      <c r="C151" s="29"/>
      <c r="D151" s="20" t="n">
        <f aca="false">IFERROR(B151*C151,0)</f>
        <v>0</v>
      </c>
      <c r="E151" s="25" t="n">
        <f aca="false">IFERROR(IF(B151=0,0,D151/B151),0)</f>
        <v>0</v>
      </c>
      <c r="F151" s="28"/>
      <c r="G151" s="28"/>
      <c r="H151" s="30"/>
    </row>
    <row r="152" customFormat="false" ht="15" hidden="false" customHeight="true" outlineLevel="0" collapsed="false">
      <c r="A152" s="27"/>
      <c r="B152" s="30"/>
      <c r="C152" s="29"/>
      <c r="D152" s="20" t="n">
        <f aca="false">IFERROR(B152*C152,0)</f>
        <v>0</v>
      </c>
      <c r="E152" s="25" t="n">
        <f aca="false">IFERROR(IF(B152=0,0,D152/B152),0)</f>
        <v>0</v>
      </c>
      <c r="F152" s="28"/>
      <c r="G152" s="28"/>
      <c r="H152" s="30"/>
    </row>
    <row r="153" customFormat="false" ht="15" hidden="false" customHeight="true" outlineLevel="0" collapsed="false">
      <c r="A153" s="27"/>
      <c r="B153" s="30"/>
      <c r="C153" s="29"/>
      <c r="D153" s="20" t="n">
        <f aca="false">IFERROR(B153*C153,0)</f>
        <v>0</v>
      </c>
      <c r="E153" s="25" t="n">
        <f aca="false">IFERROR(IF(B153=0,0,D153/B153),0)</f>
        <v>0</v>
      </c>
      <c r="F153" s="28"/>
      <c r="G153" s="28"/>
      <c r="H153" s="30"/>
    </row>
    <row r="154" customFormat="false" ht="15" hidden="false" customHeight="true" outlineLevel="0" collapsed="false">
      <c r="A154" s="27"/>
      <c r="B154" s="30"/>
      <c r="C154" s="29"/>
      <c r="D154" s="20" t="n">
        <f aca="false">IFERROR(B154*C154,0)</f>
        <v>0</v>
      </c>
      <c r="E154" s="25" t="n">
        <f aca="false">IFERROR(IF(B154=0,0,D154/B154),0)</f>
        <v>0</v>
      </c>
      <c r="F154" s="28"/>
      <c r="G154" s="28"/>
      <c r="H154" s="30"/>
    </row>
    <row r="155" customFormat="false" ht="15" hidden="false" customHeight="true" outlineLevel="0" collapsed="false">
      <c r="A155" s="27"/>
      <c r="B155" s="30"/>
      <c r="C155" s="29"/>
      <c r="D155" s="20" t="n">
        <f aca="false">IFERROR(B155*C155,0)</f>
        <v>0</v>
      </c>
      <c r="E155" s="25" t="n">
        <f aca="false">IFERROR(IF(B155=0,0,D155/B155),0)</f>
        <v>0</v>
      </c>
      <c r="F155" s="28"/>
      <c r="G155" s="28"/>
      <c r="H155" s="30"/>
    </row>
    <row r="156" customFormat="false" ht="15" hidden="false" customHeight="true" outlineLevel="0" collapsed="false">
      <c r="A156" s="27"/>
      <c r="B156" s="30"/>
      <c r="C156" s="29"/>
      <c r="D156" s="20" t="n">
        <f aca="false">IFERROR(B156*C156,0)</f>
        <v>0</v>
      </c>
      <c r="E156" s="25" t="n">
        <f aca="false">IFERROR(IF(B156=0,0,D156/B156),0)</f>
        <v>0</v>
      </c>
      <c r="F156" s="28"/>
      <c r="G156" s="28"/>
      <c r="H156" s="30"/>
    </row>
    <row r="157" customFormat="false" ht="15" hidden="false" customHeight="true" outlineLevel="0" collapsed="false">
      <c r="A157" s="27"/>
      <c r="B157" s="30"/>
      <c r="C157" s="29"/>
      <c r="D157" s="20" t="n">
        <f aca="false">IFERROR(B157*C157,0)</f>
        <v>0</v>
      </c>
      <c r="E157" s="25" t="n">
        <f aca="false">IFERROR(IF(B157=0,0,D157/B157),0)</f>
        <v>0</v>
      </c>
      <c r="F157" s="28"/>
      <c r="G157" s="28"/>
      <c r="H157" s="30"/>
    </row>
    <row r="158" customFormat="false" ht="15" hidden="false" customHeight="true" outlineLevel="0" collapsed="false">
      <c r="A158" s="27"/>
      <c r="B158" s="30"/>
      <c r="C158" s="29"/>
      <c r="D158" s="20" t="n">
        <f aca="false">IFERROR(B158*C158,0)</f>
        <v>0</v>
      </c>
      <c r="E158" s="25" t="n">
        <f aca="false">IFERROR(IF(B158=0,0,D158/B158),0)</f>
        <v>0</v>
      </c>
      <c r="F158" s="28"/>
      <c r="G158" s="28"/>
      <c r="H158" s="30"/>
    </row>
    <row r="159" customFormat="false" ht="15" hidden="false" customHeight="true" outlineLevel="0" collapsed="false">
      <c r="A159" s="27"/>
      <c r="B159" s="30"/>
      <c r="C159" s="29"/>
      <c r="D159" s="20" t="n">
        <f aca="false">IFERROR(B159*C159,0)</f>
        <v>0</v>
      </c>
      <c r="E159" s="25" t="n">
        <f aca="false">IFERROR(IF(B159=0,0,D159/B159),0)</f>
        <v>0</v>
      </c>
      <c r="F159" s="28"/>
      <c r="G159" s="28"/>
      <c r="H159" s="30"/>
    </row>
    <row r="160" customFormat="false" ht="15" hidden="false" customHeight="true" outlineLevel="0" collapsed="false">
      <c r="A160" s="27"/>
      <c r="B160" s="30"/>
      <c r="C160" s="29"/>
      <c r="D160" s="20" t="n">
        <f aca="false">IFERROR(B160*C160,0)</f>
        <v>0</v>
      </c>
      <c r="E160" s="25" t="n">
        <f aca="false">IFERROR(IF(B160=0,0,D160/B160),0)</f>
        <v>0</v>
      </c>
      <c r="F160" s="28"/>
      <c r="G160" s="28"/>
      <c r="H160" s="30"/>
    </row>
    <row r="161" customFormat="false" ht="15" hidden="false" customHeight="true" outlineLevel="0" collapsed="false">
      <c r="A161" s="27"/>
      <c r="B161" s="30"/>
      <c r="C161" s="29"/>
      <c r="D161" s="20" t="n">
        <f aca="false">IFERROR(B161*C161,0)</f>
        <v>0</v>
      </c>
      <c r="E161" s="25" t="n">
        <f aca="false">IFERROR(IF(B161=0,0,D161/B161),0)</f>
        <v>0</v>
      </c>
      <c r="F161" s="28"/>
      <c r="G161" s="28"/>
      <c r="H161" s="30"/>
    </row>
    <row r="162" customFormat="false" ht="15" hidden="false" customHeight="true" outlineLevel="0" collapsed="false">
      <c r="A162" s="27"/>
      <c r="B162" s="30"/>
      <c r="C162" s="29"/>
      <c r="D162" s="20" t="n">
        <f aca="false">IFERROR(B162*C162,0)</f>
        <v>0</v>
      </c>
      <c r="E162" s="25" t="n">
        <f aca="false">IFERROR(IF(B162=0,0,D162/B162),0)</f>
        <v>0</v>
      </c>
      <c r="F162" s="28"/>
      <c r="G162" s="28"/>
      <c r="H162" s="30"/>
    </row>
    <row r="163" customFormat="false" ht="15" hidden="false" customHeight="true" outlineLevel="0" collapsed="false">
      <c r="A163" s="27"/>
      <c r="B163" s="30"/>
      <c r="C163" s="29"/>
      <c r="D163" s="20" t="n">
        <f aca="false">IFERROR(B163*C163,0)</f>
        <v>0</v>
      </c>
      <c r="E163" s="25" t="n">
        <f aca="false">IFERROR(IF(B163=0,0,D163/B163),0)</f>
        <v>0</v>
      </c>
      <c r="F163" s="28"/>
      <c r="G163" s="28"/>
      <c r="H163" s="30"/>
    </row>
    <row r="164" customFormat="false" ht="15" hidden="false" customHeight="true" outlineLevel="0" collapsed="false">
      <c r="A164" s="27"/>
      <c r="B164" s="30"/>
      <c r="C164" s="29"/>
      <c r="D164" s="20" t="n">
        <f aca="false">IFERROR(B164*C164,0)</f>
        <v>0</v>
      </c>
      <c r="E164" s="25" t="n">
        <f aca="false">IFERROR(IF(B164=0,0,D164/B164),0)</f>
        <v>0</v>
      </c>
      <c r="F164" s="28"/>
      <c r="G164" s="28"/>
      <c r="H164" s="30"/>
    </row>
    <row r="165" customFormat="false" ht="15" hidden="false" customHeight="true" outlineLevel="0" collapsed="false">
      <c r="A165" s="27"/>
      <c r="B165" s="30"/>
      <c r="C165" s="29"/>
      <c r="D165" s="20" t="n">
        <f aca="false">IFERROR(B165*C165,0)</f>
        <v>0</v>
      </c>
      <c r="E165" s="25" t="n">
        <f aca="false">IFERROR(IF(B165=0,0,D165/B165),0)</f>
        <v>0</v>
      </c>
      <c r="F165" s="28"/>
      <c r="G165" s="28"/>
      <c r="H165" s="30"/>
    </row>
    <row r="166" customFormat="false" ht="15" hidden="false" customHeight="true" outlineLevel="0" collapsed="false">
      <c r="A166" s="27"/>
      <c r="B166" s="30"/>
      <c r="C166" s="29"/>
      <c r="D166" s="20" t="n">
        <f aca="false">IFERROR(B166*C166,0)</f>
        <v>0</v>
      </c>
      <c r="E166" s="25" t="n">
        <f aca="false">IFERROR(IF(B166=0,0,D166/B166),0)</f>
        <v>0</v>
      </c>
      <c r="F166" s="28"/>
      <c r="G166" s="28"/>
      <c r="H166" s="30"/>
    </row>
    <row r="167" customFormat="false" ht="15" hidden="false" customHeight="true" outlineLevel="0" collapsed="false">
      <c r="A167" s="27"/>
      <c r="B167" s="30"/>
      <c r="C167" s="29"/>
      <c r="D167" s="20" t="n">
        <f aca="false">IFERROR(B167*C167,0)</f>
        <v>0</v>
      </c>
      <c r="E167" s="25" t="n">
        <f aca="false">IFERROR(IF(B167=0,0,D167/B167),0)</f>
        <v>0</v>
      </c>
      <c r="F167" s="28"/>
      <c r="G167" s="28"/>
      <c r="H167" s="30"/>
    </row>
    <row r="168" customFormat="false" ht="15" hidden="false" customHeight="true" outlineLevel="0" collapsed="false">
      <c r="A168" s="27"/>
      <c r="B168" s="30"/>
      <c r="C168" s="29"/>
      <c r="D168" s="20" t="n">
        <f aca="false">IFERROR(B168*C168,0)</f>
        <v>0</v>
      </c>
      <c r="E168" s="25" t="n">
        <f aca="false">IFERROR(IF(B168=0,0,D168/B168),0)</f>
        <v>0</v>
      </c>
      <c r="F168" s="28"/>
      <c r="G168" s="28"/>
      <c r="H168" s="30"/>
    </row>
    <row r="169" customFormat="false" ht="15" hidden="false" customHeight="true" outlineLevel="0" collapsed="false">
      <c r="A169" s="27"/>
      <c r="B169" s="30"/>
      <c r="C169" s="29"/>
      <c r="D169" s="20" t="n">
        <f aca="false">IFERROR(B169*C169,0)</f>
        <v>0</v>
      </c>
      <c r="E169" s="25" t="n">
        <f aca="false">IFERROR(IF(B169=0,0,D169/B169),0)</f>
        <v>0</v>
      </c>
      <c r="F169" s="28"/>
      <c r="G169" s="28"/>
      <c r="H169" s="30"/>
    </row>
    <row r="170" customFormat="false" ht="15" hidden="false" customHeight="true" outlineLevel="0" collapsed="false">
      <c r="A170" s="27"/>
      <c r="B170" s="30"/>
      <c r="C170" s="29"/>
      <c r="D170" s="20" t="n">
        <f aca="false">IFERROR(B170*C170,0)</f>
        <v>0</v>
      </c>
      <c r="E170" s="25" t="n">
        <f aca="false">IFERROR(IF(B170=0,0,D170/B170),0)</f>
        <v>0</v>
      </c>
      <c r="F170" s="28"/>
      <c r="G170" s="28"/>
      <c r="H170" s="30"/>
    </row>
    <row r="171" customFormat="false" ht="15" hidden="false" customHeight="true" outlineLevel="0" collapsed="false">
      <c r="A171" s="27"/>
      <c r="B171" s="30"/>
      <c r="C171" s="29"/>
      <c r="D171" s="20" t="n">
        <f aca="false">IFERROR(B171*C171,0)</f>
        <v>0</v>
      </c>
      <c r="E171" s="25" t="n">
        <f aca="false">IFERROR(IF(B171=0,0,D171/B171),0)</f>
        <v>0</v>
      </c>
      <c r="F171" s="28"/>
      <c r="G171" s="28"/>
      <c r="H171" s="30"/>
    </row>
    <row r="172" customFormat="false" ht="15" hidden="false" customHeight="true" outlineLevel="0" collapsed="false">
      <c r="A172" s="27"/>
      <c r="B172" s="30"/>
      <c r="C172" s="29"/>
      <c r="D172" s="20" t="n">
        <f aca="false">IFERROR(B172*C172,0)</f>
        <v>0</v>
      </c>
      <c r="E172" s="25" t="n">
        <f aca="false">IFERROR(IF(B172=0,0,D172/B172),0)</f>
        <v>0</v>
      </c>
      <c r="F172" s="28"/>
      <c r="G172" s="28"/>
      <c r="H172" s="30"/>
    </row>
    <row r="173" customFormat="false" ht="15" hidden="false" customHeight="true" outlineLevel="0" collapsed="false">
      <c r="A173" s="27"/>
      <c r="B173" s="30"/>
      <c r="C173" s="29"/>
      <c r="D173" s="20" t="n">
        <f aca="false">IFERROR(B173*C173,0)</f>
        <v>0</v>
      </c>
      <c r="E173" s="25" t="n">
        <f aca="false">IFERROR(IF(B173=0,0,D173/B173),0)</f>
        <v>0</v>
      </c>
      <c r="F173" s="28"/>
      <c r="G173" s="28"/>
      <c r="H173" s="30"/>
    </row>
    <row r="174" customFormat="false" ht="15" hidden="false" customHeight="true" outlineLevel="0" collapsed="false">
      <c r="A174" s="27"/>
      <c r="B174" s="30"/>
      <c r="C174" s="29"/>
      <c r="D174" s="20" t="n">
        <f aca="false">IFERROR(B174*C174,0)</f>
        <v>0</v>
      </c>
      <c r="E174" s="25" t="n">
        <f aca="false">IFERROR(IF(B174=0,0,D174/B174),0)</f>
        <v>0</v>
      </c>
      <c r="F174" s="28"/>
      <c r="G174" s="28"/>
      <c r="H174" s="30"/>
    </row>
    <row r="175" customFormat="false" ht="15" hidden="false" customHeight="true" outlineLevel="0" collapsed="false">
      <c r="A175" s="27"/>
      <c r="B175" s="30"/>
      <c r="C175" s="29"/>
      <c r="D175" s="20" t="n">
        <f aca="false">IFERROR(B175*C175,0)</f>
        <v>0</v>
      </c>
      <c r="E175" s="25" t="n">
        <f aca="false">IFERROR(IF(B175=0,0,D175/B175),0)</f>
        <v>0</v>
      </c>
      <c r="F175" s="28"/>
      <c r="G175" s="28"/>
      <c r="H175" s="30"/>
    </row>
    <row r="176" customFormat="false" ht="15" hidden="false" customHeight="true" outlineLevel="0" collapsed="false">
      <c r="A176" s="27"/>
      <c r="B176" s="30"/>
      <c r="C176" s="29"/>
      <c r="D176" s="20" t="n">
        <f aca="false">IFERROR(B176*C176,0)</f>
        <v>0</v>
      </c>
      <c r="E176" s="25" t="n">
        <f aca="false">IFERROR(IF(B176=0,0,D176/B176),0)</f>
        <v>0</v>
      </c>
      <c r="F176" s="28"/>
      <c r="G176" s="28"/>
      <c r="H176" s="30"/>
    </row>
    <row r="177" customFormat="false" ht="15" hidden="false" customHeight="true" outlineLevel="0" collapsed="false">
      <c r="A177" s="27"/>
      <c r="B177" s="30"/>
      <c r="C177" s="29"/>
      <c r="D177" s="20" t="n">
        <f aca="false">IFERROR(B177*C177,0)</f>
        <v>0</v>
      </c>
      <c r="E177" s="25" t="n">
        <f aca="false">IFERROR(IF(B177=0,0,D177/B177),0)</f>
        <v>0</v>
      </c>
      <c r="F177" s="28"/>
      <c r="G177" s="28"/>
      <c r="H177" s="30"/>
    </row>
    <row r="178" customFormat="false" ht="15" hidden="false" customHeight="true" outlineLevel="0" collapsed="false">
      <c r="A178" s="27"/>
      <c r="B178" s="30"/>
      <c r="C178" s="29"/>
      <c r="D178" s="20" t="n">
        <f aca="false">IFERROR(B178*C178,0)</f>
        <v>0</v>
      </c>
      <c r="E178" s="25" t="n">
        <f aca="false">IFERROR(IF(B178=0,0,D178/B178),0)</f>
        <v>0</v>
      </c>
      <c r="F178" s="28"/>
      <c r="G178" s="28"/>
      <c r="H178" s="30"/>
    </row>
    <row r="179" customFormat="false" ht="15" hidden="false" customHeight="true" outlineLevel="0" collapsed="false">
      <c r="A179" s="27"/>
      <c r="B179" s="30"/>
      <c r="C179" s="29"/>
      <c r="D179" s="20" t="n">
        <f aca="false">IFERROR(B179*C179,0)</f>
        <v>0</v>
      </c>
      <c r="E179" s="25" t="n">
        <f aca="false">IFERROR(IF(B179=0,0,D179/B179),0)</f>
        <v>0</v>
      </c>
      <c r="F179" s="28"/>
      <c r="G179" s="28"/>
      <c r="H179" s="30"/>
    </row>
    <row r="180" customFormat="false" ht="15" hidden="false" customHeight="true" outlineLevel="0" collapsed="false">
      <c r="A180" s="27"/>
      <c r="B180" s="30"/>
      <c r="C180" s="29"/>
      <c r="D180" s="20" t="n">
        <f aca="false">IFERROR(B180*C180,0)</f>
        <v>0</v>
      </c>
      <c r="E180" s="25" t="n">
        <f aca="false">IFERROR(IF(B180=0,0,D180/B180),0)</f>
        <v>0</v>
      </c>
      <c r="F180" s="28"/>
      <c r="G180" s="28"/>
      <c r="H180" s="30"/>
    </row>
    <row r="181" customFormat="false" ht="15" hidden="false" customHeight="true" outlineLevel="0" collapsed="false">
      <c r="A181" s="27"/>
      <c r="B181" s="30"/>
      <c r="C181" s="29"/>
      <c r="D181" s="20" t="n">
        <f aca="false">IFERROR(B181*C181,0)</f>
        <v>0</v>
      </c>
      <c r="E181" s="25" t="n">
        <f aca="false">IFERROR(IF(B181=0,0,D181/B181),0)</f>
        <v>0</v>
      </c>
      <c r="F181" s="28"/>
      <c r="G181" s="28"/>
      <c r="H181" s="30"/>
    </row>
    <row r="182" customFormat="false" ht="15" hidden="false" customHeight="true" outlineLevel="0" collapsed="false">
      <c r="A182" s="27"/>
      <c r="B182" s="30"/>
      <c r="C182" s="29"/>
      <c r="D182" s="20" t="n">
        <f aca="false">IFERROR(B182*C182,0)</f>
        <v>0</v>
      </c>
      <c r="E182" s="25" t="n">
        <f aca="false">IFERROR(IF(B182=0,0,D182/B182),0)</f>
        <v>0</v>
      </c>
      <c r="F182" s="28"/>
      <c r="G182" s="28"/>
      <c r="H182" s="30"/>
    </row>
    <row r="183" customFormat="false" ht="15" hidden="false" customHeight="true" outlineLevel="0" collapsed="false">
      <c r="A183" s="27"/>
      <c r="B183" s="30"/>
      <c r="C183" s="29"/>
      <c r="D183" s="20" t="n">
        <f aca="false">IFERROR(B183*C183,0)</f>
        <v>0</v>
      </c>
      <c r="E183" s="25" t="n">
        <f aca="false">IFERROR(IF(B183=0,0,D183/B183),0)</f>
        <v>0</v>
      </c>
      <c r="F183" s="28"/>
      <c r="G183" s="28"/>
      <c r="H183" s="30"/>
    </row>
    <row r="184" customFormat="false" ht="15" hidden="false" customHeight="true" outlineLevel="0" collapsed="false">
      <c r="A184" s="27"/>
      <c r="B184" s="30"/>
      <c r="C184" s="29"/>
      <c r="D184" s="20" t="n">
        <f aca="false">IFERROR(B184*C184,0)</f>
        <v>0</v>
      </c>
      <c r="E184" s="25" t="n">
        <f aca="false">IFERROR(IF(B184=0,0,D184/B184),0)</f>
        <v>0</v>
      </c>
      <c r="F184" s="28"/>
      <c r="G184" s="28"/>
      <c r="H184" s="30"/>
    </row>
    <row r="185" customFormat="false" ht="15" hidden="false" customHeight="true" outlineLevel="0" collapsed="false">
      <c r="A185" s="27"/>
      <c r="B185" s="30"/>
      <c r="C185" s="29"/>
      <c r="D185" s="20" t="n">
        <f aca="false">IFERROR(B185*C185,0)</f>
        <v>0</v>
      </c>
      <c r="E185" s="25" t="n">
        <f aca="false">IFERROR(IF(B185=0,0,D185/B185),0)</f>
        <v>0</v>
      </c>
      <c r="F185" s="28"/>
      <c r="G185" s="28"/>
      <c r="H185" s="30"/>
    </row>
    <row r="186" customFormat="false" ht="15" hidden="false" customHeight="true" outlineLevel="0" collapsed="false">
      <c r="A186" s="27"/>
      <c r="B186" s="30"/>
      <c r="C186" s="29"/>
      <c r="D186" s="20" t="n">
        <f aca="false">IFERROR(B186*C186,0)</f>
        <v>0</v>
      </c>
      <c r="E186" s="25" t="n">
        <f aca="false">IFERROR(IF(B186=0,0,D186/B186),0)</f>
        <v>0</v>
      </c>
      <c r="F186" s="28"/>
      <c r="G186" s="28"/>
      <c r="H186" s="30"/>
    </row>
    <row r="187" customFormat="false" ht="15" hidden="false" customHeight="true" outlineLevel="0" collapsed="false">
      <c r="A187" s="27"/>
      <c r="B187" s="30"/>
      <c r="C187" s="29"/>
      <c r="D187" s="20" t="n">
        <f aca="false">IFERROR(B187*C187,0)</f>
        <v>0</v>
      </c>
      <c r="E187" s="25" t="n">
        <f aca="false">IFERROR(IF(B187=0,0,D187/B187),0)</f>
        <v>0</v>
      </c>
      <c r="F187" s="28"/>
      <c r="G187" s="28"/>
      <c r="H187" s="30"/>
    </row>
    <row r="188" customFormat="false" ht="15" hidden="false" customHeight="true" outlineLevel="0" collapsed="false">
      <c r="A188" s="27"/>
      <c r="B188" s="30"/>
      <c r="C188" s="29"/>
      <c r="D188" s="20" t="n">
        <f aca="false">IFERROR(B188*C188,0)</f>
        <v>0</v>
      </c>
      <c r="E188" s="25" t="n">
        <f aca="false">IFERROR(IF(B188=0,0,D188/B188),0)</f>
        <v>0</v>
      </c>
      <c r="F188" s="28"/>
      <c r="G188" s="28"/>
      <c r="H188" s="30"/>
    </row>
    <row r="189" customFormat="false" ht="15" hidden="false" customHeight="true" outlineLevel="0" collapsed="false">
      <c r="A189" s="27"/>
      <c r="B189" s="30"/>
      <c r="C189" s="29"/>
      <c r="D189" s="20" t="n">
        <f aca="false">IFERROR(B189*C189,0)</f>
        <v>0</v>
      </c>
      <c r="E189" s="25" t="n">
        <f aca="false">IFERROR(IF(B189=0,0,D189/B189),0)</f>
        <v>0</v>
      </c>
      <c r="F189" s="28"/>
      <c r="G189" s="28"/>
      <c r="H189" s="30"/>
    </row>
    <row r="190" customFormat="false" ht="15" hidden="false" customHeight="true" outlineLevel="0" collapsed="false">
      <c r="A190" s="27"/>
      <c r="B190" s="30"/>
      <c r="C190" s="29"/>
      <c r="D190" s="20" t="n">
        <f aca="false">IFERROR(B190*C190,0)</f>
        <v>0</v>
      </c>
      <c r="E190" s="25" t="n">
        <f aca="false">IFERROR(IF(B190=0,0,D190/B190),0)</f>
        <v>0</v>
      </c>
      <c r="F190" s="28"/>
      <c r="G190" s="28"/>
      <c r="H190" s="30"/>
    </row>
    <row r="191" customFormat="false" ht="15" hidden="false" customHeight="true" outlineLevel="0" collapsed="false">
      <c r="A191" s="27"/>
      <c r="B191" s="30"/>
      <c r="C191" s="29"/>
      <c r="D191" s="20" t="n">
        <f aca="false">IFERROR(B191*C191,0)</f>
        <v>0</v>
      </c>
      <c r="E191" s="25" t="n">
        <f aca="false">IFERROR(IF(B191=0,0,D191/B191),0)</f>
        <v>0</v>
      </c>
      <c r="F191" s="28"/>
      <c r="G191" s="28"/>
      <c r="H191" s="30"/>
    </row>
    <row r="192" customFormat="false" ht="15" hidden="false" customHeight="true" outlineLevel="0" collapsed="false">
      <c r="A192" s="27"/>
      <c r="B192" s="30"/>
      <c r="C192" s="29"/>
      <c r="D192" s="20" t="n">
        <f aca="false">IFERROR(B192*C192,0)</f>
        <v>0</v>
      </c>
      <c r="E192" s="25" t="n">
        <f aca="false">IFERROR(IF(B192=0,0,D192/B192),0)</f>
        <v>0</v>
      </c>
      <c r="F192" s="28"/>
      <c r="G192" s="28"/>
      <c r="H192" s="30"/>
    </row>
    <row r="193" customFormat="false" ht="15" hidden="false" customHeight="true" outlineLevel="0" collapsed="false">
      <c r="A193" s="27"/>
      <c r="B193" s="30"/>
      <c r="C193" s="29"/>
      <c r="D193" s="20" t="n">
        <f aca="false">IFERROR(B193*C193,0)</f>
        <v>0</v>
      </c>
      <c r="E193" s="25" t="n">
        <f aca="false">IFERROR(IF(B193=0,0,D193/B193),0)</f>
        <v>0</v>
      </c>
      <c r="F193" s="28"/>
      <c r="G193" s="28"/>
      <c r="H193" s="30"/>
    </row>
    <row r="194" customFormat="false" ht="15" hidden="false" customHeight="true" outlineLevel="0" collapsed="false">
      <c r="A194" s="27"/>
      <c r="B194" s="30"/>
      <c r="C194" s="29"/>
      <c r="D194" s="20" t="n">
        <f aca="false">IFERROR(B194*C194,0)</f>
        <v>0</v>
      </c>
      <c r="E194" s="25" t="n">
        <f aca="false">IFERROR(IF(B194=0,0,D194/B194),0)</f>
        <v>0</v>
      </c>
      <c r="F194" s="28"/>
      <c r="G194" s="28"/>
      <c r="H194" s="30"/>
    </row>
    <row r="195" customFormat="false" ht="15" hidden="false" customHeight="true" outlineLevel="0" collapsed="false">
      <c r="A195" s="27"/>
      <c r="B195" s="30"/>
      <c r="C195" s="29"/>
      <c r="D195" s="20" t="n">
        <f aca="false">IFERROR(B195*C195,0)</f>
        <v>0</v>
      </c>
      <c r="E195" s="25" t="n">
        <f aca="false">IFERROR(IF(B195=0,0,D195/B195),0)</f>
        <v>0</v>
      </c>
      <c r="F195" s="28"/>
      <c r="G195" s="28"/>
      <c r="H195" s="30"/>
    </row>
    <row r="196" customFormat="false" ht="15" hidden="false" customHeight="true" outlineLevel="0" collapsed="false">
      <c r="A196" s="27"/>
      <c r="B196" s="30"/>
      <c r="C196" s="29"/>
      <c r="D196" s="20" t="n">
        <f aca="false">IFERROR(B196*C196,0)</f>
        <v>0</v>
      </c>
      <c r="E196" s="25" t="n">
        <f aca="false">IFERROR(IF(B196=0,0,D196/B196),0)</f>
        <v>0</v>
      </c>
      <c r="F196" s="28"/>
      <c r="G196" s="28"/>
      <c r="H196" s="30"/>
    </row>
    <row r="197" customFormat="false" ht="15" hidden="false" customHeight="true" outlineLevel="0" collapsed="false">
      <c r="A197" s="27"/>
      <c r="B197" s="30"/>
      <c r="C197" s="29"/>
      <c r="D197" s="20" t="n">
        <f aca="false">IFERROR(B197*C197,0)</f>
        <v>0</v>
      </c>
      <c r="E197" s="25" t="n">
        <f aca="false">IFERROR(IF(B197=0,0,D197/B197),0)</f>
        <v>0</v>
      </c>
      <c r="F197" s="28"/>
      <c r="G197" s="28"/>
      <c r="H197" s="30"/>
    </row>
    <row r="198" customFormat="false" ht="15" hidden="false" customHeight="true" outlineLevel="0" collapsed="false">
      <c r="A198" s="27"/>
      <c r="B198" s="30"/>
      <c r="C198" s="29"/>
      <c r="D198" s="20" t="n">
        <f aca="false">IFERROR(B198*C198,0)</f>
        <v>0</v>
      </c>
      <c r="E198" s="25" t="n">
        <f aca="false">IFERROR(IF(B198=0,0,D198/B198),0)</f>
        <v>0</v>
      </c>
      <c r="F198" s="28"/>
      <c r="G198" s="28"/>
      <c r="H198" s="30"/>
    </row>
    <row r="199" customFormat="false" ht="15" hidden="false" customHeight="true" outlineLevel="0" collapsed="false">
      <c r="A199" s="27"/>
      <c r="B199" s="30"/>
      <c r="C199" s="29"/>
      <c r="D199" s="20" t="n">
        <f aca="false">IFERROR(B199*C199,0)</f>
        <v>0</v>
      </c>
      <c r="E199" s="25" t="n">
        <f aca="false">IFERROR(IF(B199=0,0,D199/B199),0)</f>
        <v>0</v>
      </c>
      <c r="F199" s="28"/>
      <c r="G199" s="28"/>
      <c r="H199" s="30"/>
    </row>
    <row r="200" customFormat="false" ht="15" hidden="false" customHeight="true" outlineLevel="0" collapsed="false">
      <c r="A200" s="27"/>
      <c r="B200" s="30"/>
      <c r="C200" s="29"/>
      <c r="D200" s="20" t="n">
        <f aca="false">IFERROR(B200*C200,0)</f>
        <v>0</v>
      </c>
      <c r="E200" s="25" t="n">
        <f aca="false">IFERROR(IF(B200=0,0,D200/B200),0)</f>
        <v>0</v>
      </c>
      <c r="F200" s="28"/>
      <c r="G200" s="28"/>
      <c r="H200" s="30"/>
    </row>
    <row r="201" customFormat="false" ht="15" hidden="false" customHeight="true" outlineLevel="0" collapsed="false">
      <c r="A201" s="27"/>
      <c r="B201" s="30"/>
      <c r="C201" s="29"/>
      <c r="D201" s="20" t="n">
        <f aca="false">IFERROR(B201*C201,0)</f>
        <v>0</v>
      </c>
      <c r="E201" s="25" t="n">
        <f aca="false">IFERROR(IF(B201=0,0,D201/B201),0)</f>
        <v>0</v>
      </c>
      <c r="F201" s="28"/>
      <c r="G201" s="28"/>
      <c r="H201" s="30"/>
    </row>
    <row r="202" customFormat="false" ht="15" hidden="false" customHeight="true" outlineLevel="0" collapsed="false">
      <c r="A202" s="27"/>
      <c r="B202" s="30"/>
      <c r="C202" s="29"/>
      <c r="D202" s="20" t="n">
        <f aca="false">IFERROR(B202*C202,0)</f>
        <v>0</v>
      </c>
      <c r="E202" s="25" t="n">
        <f aca="false">IFERROR(IF(B202=0,0,D202/B202),0)</f>
        <v>0</v>
      </c>
      <c r="F202" s="28"/>
      <c r="G202" s="28"/>
      <c r="H202" s="30"/>
    </row>
    <row r="203" customFormat="false" ht="15" hidden="false" customHeight="true" outlineLevel="0" collapsed="false">
      <c r="A203" s="27"/>
      <c r="B203" s="30"/>
      <c r="C203" s="29"/>
      <c r="D203" s="20" t="n">
        <f aca="false">IFERROR(B203*C203,0)</f>
        <v>0</v>
      </c>
      <c r="E203" s="25" t="n">
        <f aca="false">IFERROR(IF(B203=0,0,D203/B203),0)</f>
        <v>0</v>
      </c>
      <c r="F203" s="28"/>
      <c r="G203" s="28"/>
      <c r="H203" s="30"/>
    </row>
    <row r="205" customFormat="false" ht="15" hidden="false" customHeight="true" outlineLevel="0" collapsed="false">
      <c r="A205" s="7" t="s">
        <v>98</v>
      </c>
      <c r="B205" s="31" t="n">
        <f aca="false">SUM(B4:B203)</f>
        <v>250</v>
      </c>
      <c r="D205" s="32" t="n">
        <f aca="false">SUM(D4:D203)</f>
        <v>8280</v>
      </c>
      <c r="E205" s="31" t="n">
        <f aca="false">IFERROR(D205/B205,0)</f>
        <v>33.12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14"/>
  </cols>
  <sheetData>
    <row r="1" customFormat="false" ht="25.5" hidden="false" customHeight="true" outlineLevel="0" collapsed="false">
      <c r="A1" s="6" t="s">
        <v>99</v>
      </c>
      <c r="B1" s="6"/>
      <c r="C1" s="6"/>
      <c r="D1" s="6"/>
      <c r="E1" s="6"/>
      <c r="F1" s="6"/>
      <c r="G1" s="6"/>
      <c r="H1" s="6"/>
    </row>
    <row r="3" customFormat="false" ht="30" hidden="false" customHeight="true" outlineLevel="0" collapsed="false">
      <c r="A3" s="16" t="s">
        <v>51</v>
      </c>
      <c r="B3" s="16" t="s">
        <v>90</v>
      </c>
      <c r="C3" s="16" t="s">
        <v>54</v>
      </c>
      <c r="D3" s="16" t="s">
        <v>37</v>
      </c>
      <c r="E3" s="16" t="s">
        <v>91</v>
      </c>
      <c r="F3" s="16" t="s">
        <v>92</v>
      </c>
      <c r="G3" s="16" t="s">
        <v>57</v>
      </c>
      <c r="H3" s="16" t="s">
        <v>93</v>
      </c>
    </row>
    <row r="4" customFormat="false" ht="15" hidden="false" customHeight="true" outlineLevel="0" collapsed="false">
      <c r="A4" s="27" t="s">
        <v>100</v>
      </c>
      <c r="B4" s="30" t="n">
        <v>50</v>
      </c>
      <c r="C4" s="29" t="n">
        <v>34.5</v>
      </c>
      <c r="D4" s="20" t="n">
        <f aca="false">IFERROR(B4*C4,0)</f>
        <v>1725</v>
      </c>
      <c r="E4" s="25" t="n">
        <f aca="false">IFERROR(IF(B4=0,0,D4/B4),0)</f>
        <v>34.5</v>
      </c>
      <c r="F4" s="28" t="s">
        <v>47</v>
      </c>
      <c r="G4" s="28"/>
      <c r="H4" s="30"/>
    </row>
    <row r="5" customFormat="false" ht="15" hidden="false" customHeight="true" outlineLevel="0" collapsed="false">
      <c r="A5" s="27" t="s">
        <v>58</v>
      </c>
      <c r="B5" s="30" t="n">
        <v>100</v>
      </c>
      <c r="C5" s="29" t="n">
        <v>33.8</v>
      </c>
      <c r="D5" s="20" t="n">
        <f aca="false">IFERROR(B5*C5,0)</f>
        <v>3380</v>
      </c>
      <c r="E5" s="25" t="n">
        <f aca="false">IFERROR(IF(B5=0,0,D5/B5),0)</f>
        <v>33.8</v>
      </c>
      <c r="F5" s="28" t="s">
        <v>48</v>
      </c>
      <c r="G5" s="28"/>
      <c r="H5" s="30"/>
    </row>
    <row r="6" customFormat="false" ht="15" hidden="false" customHeight="true" outlineLevel="0" collapsed="false">
      <c r="A6" s="27"/>
      <c r="B6" s="30"/>
      <c r="C6" s="29"/>
      <c r="D6" s="20" t="n">
        <f aca="false">IFERROR(B6*C6,0)</f>
        <v>0</v>
      </c>
      <c r="E6" s="25" t="n">
        <f aca="false">IFERROR(IF(B6=0,0,D6/B6),0)</f>
        <v>0</v>
      </c>
      <c r="F6" s="28"/>
      <c r="G6" s="28"/>
      <c r="H6" s="30"/>
    </row>
    <row r="7" customFormat="false" ht="15" hidden="false" customHeight="true" outlineLevel="0" collapsed="false">
      <c r="A7" s="27"/>
      <c r="B7" s="30"/>
      <c r="C7" s="29"/>
      <c r="D7" s="20" t="n">
        <f aca="false">IFERROR(B7*C7,0)</f>
        <v>0</v>
      </c>
      <c r="E7" s="25" t="n">
        <f aca="false">IFERROR(IF(B7=0,0,D7/B7),0)</f>
        <v>0</v>
      </c>
      <c r="F7" s="28"/>
      <c r="G7" s="28"/>
      <c r="H7" s="30"/>
    </row>
    <row r="8" customFormat="false" ht="15" hidden="false" customHeight="true" outlineLevel="0" collapsed="false">
      <c r="A8" s="27"/>
      <c r="B8" s="30"/>
      <c r="C8" s="29"/>
      <c r="D8" s="20" t="n">
        <f aca="false">IFERROR(B8*C8,0)</f>
        <v>0</v>
      </c>
      <c r="E8" s="25" t="n">
        <f aca="false">IFERROR(IF(B8=0,0,D8/B8),0)</f>
        <v>0</v>
      </c>
      <c r="F8" s="28"/>
      <c r="G8" s="28"/>
      <c r="H8" s="30"/>
    </row>
    <row r="9" customFormat="false" ht="15" hidden="false" customHeight="true" outlineLevel="0" collapsed="false">
      <c r="A9" s="27"/>
      <c r="B9" s="30"/>
      <c r="C9" s="29"/>
      <c r="D9" s="20" t="n">
        <f aca="false">IFERROR(B9*C9,0)</f>
        <v>0</v>
      </c>
      <c r="E9" s="25" t="n">
        <f aca="false">IFERROR(IF(B9=0,0,D9/B9),0)</f>
        <v>0</v>
      </c>
      <c r="F9" s="28"/>
      <c r="G9" s="28"/>
      <c r="H9" s="30"/>
    </row>
    <row r="10" customFormat="false" ht="15" hidden="false" customHeight="true" outlineLevel="0" collapsed="false">
      <c r="A10" s="27"/>
      <c r="B10" s="30"/>
      <c r="C10" s="29"/>
      <c r="D10" s="20" t="n">
        <f aca="false">IFERROR(B10*C10,0)</f>
        <v>0</v>
      </c>
      <c r="E10" s="25" t="n">
        <f aca="false">IFERROR(IF(B10=0,0,D10/B10),0)</f>
        <v>0</v>
      </c>
      <c r="F10" s="28"/>
      <c r="G10" s="28"/>
      <c r="H10" s="30"/>
    </row>
    <row r="11" customFormat="false" ht="15" hidden="false" customHeight="true" outlineLevel="0" collapsed="false">
      <c r="A11" s="27"/>
      <c r="B11" s="30"/>
      <c r="C11" s="29"/>
      <c r="D11" s="20" t="n">
        <f aca="false">IFERROR(B11*C11,0)</f>
        <v>0</v>
      </c>
      <c r="E11" s="25" t="n">
        <f aca="false">IFERROR(IF(B11=0,0,D11/B11),0)</f>
        <v>0</v>
      </c>
      <c r="F11" s="28"/>
      <c r="G11" s="28"/>
      <c r="H11" s="30"/>
    </row>
    <row r="12" customFormat="false" ht="15" hidden="false" customHeight="true" outlineLevel="0" collapsed="false">
      <c r="A12" s="27"/>
      <c r="B12" s="30"/>
      <c r="C12" s="29"/>
      <c r="D12" s="20" t="n">
        <f aca="false">IFERROR(B12*C12,0)</f>
        <v>0</v>
      </c>
      <c r="E12" s="25" t="n">
        <f aca="false">IFERROR(IF(B12=0,0,D12/B12),0)</f>
        <v>0</v>
      </c>
      <c r="F12" s="28"/>
      <c r="G12" s="28"/>
      <c r="H12" s="30"/>
    </row>
    <row r="13" customFormat="false" ht="15" hidden="false" customHeight="true" outlineLevel="0" collapsed="false">
      <c r="A13" s="27"/>
      <c r="B13" s="30"/>
      <c r="C13" s="29"/>
      <c r="D13" s="20" t="n">
        <f aca="false">IFERROR(B13*C13,0)</f>
        <v>0</v>
      </c>
      <c r="E13" s="25" t="n">
        <f aca="false">IFERROR(IF(B13=0,0,D13/B13),0)</f>
        <v>0</v>
      </c>
      <c r="F13" s="28"/>
      <c r="G13" s="28"/>
      <c r="H13" s="30"/>
    </row>
    <row r="14" customFormat="false" ht="15" hidden="false" customHeight="true" outlineLevel="0" collapsed="false">
      <c r="A14" s="27"/>
      <c r="B14" s="30"/>
      <c r="C14" s="29"/>
      <c r="D14" s="20" t="n">
        <f aca="false">IFERROR(B14*C14,0)</f>
        <v>0</v>
      </c>
      <c r="E14" s="25" t="n">
        <f aca="false">IFERROR(IF(B14=0,0,D14/B14),0)</f>
        <v>0</v>
      </c>
      <c r="F14" s="28"/>
      <c r="G14" s="28"/>
      <c r="H14" s="30"/>
    </row>
    <row r="15" customFormat="false" ht="15" hidden="false" customHeight="true" outlineLevel="0" collapsed="false">
      <c r="A15" s="27"/>
      <c r="B15" s="30"/>
      <c r="C15" s="29"/>
      <c r="D15" s="20" t="n">
        <f aca="false">IFERROR(B15*C15,0)</f>
        <v>0</v>
      </c>
      <c r="E15" s="25" t="n">
        <f aca="false">IFERROR(IF(B15=0,0,D15/B15),0)</f>
        <v>0</v>
      </c>
      <c r="F15" s="28"/>
      <c r="G15" s="28"/>
      <c r="H15" s="30"/>
    </row>
    <row r="16" customFormat="false" ht="15" hidden="false" customHeight="true" outlineLevel="0" collapsed="false">
      <c r="A16" s="27"/>
      <c r="B16" s="30"/>
      <c r="C16" s="29"/>
      <c r="D16" s="20" t="n">
        <f aca="false">IFERROR(B16*C16,0)</f>
        <v>0</v>
      </c>
      <c r="E16" s="25" t="n">
        <f aca="false">IFERROR(IF(B16=0,0,D16/B16),0)</f>
        <v>0</v>
      </c>
      <c r="F16" s="28"/>
      <c r="G16" s="28"/>
      <c r="H16" s="30"/>
    </row>
    <row r="17" customFormat="false" ht="15" hidden="false" customHeight="true" outlineLevel="0" collapsed="false">
      <c r="A17" s="27"/>
      <c r="B17" s="30"/>
      <c r="C17" s="29"/>
      <c r="D17" s="20" t="n">
        <f aca="false">IFERROR(B17*C17,0)</f>
        <v>0</v>
      </c>
      <c r="E17" s="25" t="n">
        <f aca="false">IFERROR(IF(B17=0,0,D17/B17),0)</f>
        <v>0</v>
      </c>
      <c r="F17" s="28"/>
      <c r="G17" s="28"/>
      <c r="H17" s="30"/>
    </row>
    <row r="18" customFormat="false" ht="15" hidden="false" customHeight="true" outlineLevel="0" collapsed="false">
      <c r="A18" s="27"/>
      <c r="B18" s="30"/>
      <c r="C18" s="29"/>
      <c r="D18" s="20" t="n">
        <f aca="false">IFERROR(B18*C18,0)</f>
        <v>0</v>
      </c>
      <c r="E18" s="25" t="n">
        <f aca="false">IFERROR(IF(B18=0,0,D18/B18),0)</f>
        <v>0</v>
      </c>
      <c r="F18" s="28"/>
      <c r="G18" s="28"/>
      <c r="H18" s="30"/>
    </row>
    <row r="19" customFormat="false" ht="15" hidden="false" customHeight="true" outlineLevel="0" collapsed="false">
      <c r="A19" s="27"/>
      <c r="B19" s="30"/>
      <c r="C19" s="29"/>
      <c r="D19" s="20" t="n">
        <f aca="false">IFERROR(B19*C19,0)</f>
        <v>0</v>
      </c>
      <c r="E19" s="25" t="n">
        <f aca="false">IFERROR(IF(B19=0,0,D19/B19),0)</f>
        <v>0</v>
      </c>
      <c r="F19" s="28"/>
      <c r="G19" s="28"/>
      <c r="H19" s="30"/>
    </row>
    <row r="20" customFormat="false" ht="15" hidden="false" customHeight="true" outlineLevel="0" collapsed="false">
      <c r="A20" s="27"/>
      <c r="B20" s="30"/>
      <c r="C20" s="29"/>
      <c r="D20" s="20" t="n">
        <f aca="false">IFERROR(B20*C20,0)</f>
        <v>0</v>
      </c>
      <c r="E20" s="25" t="n">
        <f aca="false">IFERROR(IF(B20=0,0,D20/B20),0)</f>
        <v>0</v>
      </c>
      <c r="F20" s="28"/>
      <c r="G20" s="28"/>
      <c r="H20" s="30"/>
    </row>
    <row r="21" customFormat="false" ht="15" hidden="false" customHeight="true" outlineLevel="0" collapsed="false">
      <c r="A21" s="27"/>
      <c r="B21" s="30"/>
      <c r="C21" s="29"/>
      <c r="D21" s="20" t="n">
        <f aca="false">IFERROR(B21*C21,0)</f>
        <v>0</v>
      </c>
      <c r="E21" s="25" t="n">
        <f aca="false">IFERROR(IF(B21=0,0,D21/B21),0)</f>
        <v>0</v>
      </c>
      <c r="F21" s="28"/>
      <c r="G21" s="28"/>
      <c r="H21" s="30"/>
    </row>
    <row r="22" customFormat="false" ht="15" hidden="false" customHeight="true" outlineLevel="0" collapsed="false">
      <c r="A22" s="27"/>
      <c r="B22" s="30"/>
      <c r="C22" s="29"/>
      <c r="D22" s="20" t="n">
        <f aca="false">IFERROR(B22*C22,0)</f>
        <v>0</v>
      </c>
      <c r="E22" s="25" t="n">
        <f aca="false">IFERROR(IF(B22=0,0,D22/B22),0)</f>
        <v>0</v>
      </c>
      <c r="F22" s="28"/>
      <c r="G22" s="28"/>
      <c r="H22" s="30"/>
    </row>
    <row r="23" customFormat="false" ht="15" hidden="false" customHeight="true" outlineLevel="0" collapsed="false">
      <c r="A23" s="27"/>
      <c r="B23" s="30"/>
      <c r="C23" s="29"/>
      <c r="D23" s="20" t="n">
        <f aca="false">IFERROR(B23*C23,0)</f>
        <v>0</v>
      </c>
      <c r="E23" s="25" t="n">
        <f aca="false">IFERROR(IF(B23=0,0,D23/B23),0)</f>
        <v>0</v>
      </c>
      <c r="F23" s="28"/>
      <c r="G23" s="28"/>
      <c r="H23" s="30"/>
    </row>
    <row r="24" customFormat="false" ht="15" hidden="false" customHeight="true" outlineLevel="0" collapsed="false">
      <c r="A24" s="27"/>
      <c r="B24" s="30"/>
      <c r="C24" s="29"/>
      <c r="D24" s="20" t="n">
        <f aca="false">IFERROR(B24*C24,0)</f>
        <v>0</v>
      </c>
      <c r="E24" s="25" t="n">
        <f aca="false">IFERROR(IF(B24=0,0,D24/B24),0)</f>
        <v>0</v>
      </c>
      <c r="F24" s="28"/>
      <c r="G24" s="28"/>
      <c r="H24" s="30"/>
    </row>
    <row r="25" customFormat="false" ht="15" hidden="false" customHeight="true" outlineLevel="0" collapsed="false">
      <c r="A25" s="27"/>
      <c r="B25" s="30"/>
      <c r="C25" s="29"/>
      <c r="D25" s="20" t="n">
        <f aca="false">IFERROR(B25*C25,0)</f>
        <v>0</v>
      </c>
      <c r="E25" s="25" t="n">
        <f aca="false">IFERROR(IF(B25=0,0,D25/B25),0)</f>
        <v>0</v>
      </c>
      <c r="F25" s="28"/>
      <c r="G25" s="28"/>
      <c r="H25" s="30"/>
    </row>
    <row r="26" customFormat="false" ht="15" hidden="false" customHeight="true" outlineLevel="0" collapsed="false">
      <c r="A26" s="27"/>
      <c r="B26" s="30"/>
      <c r="C26" s="29"/>
      <c r="D26" s="20" t="n">
        <f aca="false">IFERROR(B26*C26,0)</f>
        <v>0</v>
      </c>
      <c r="E26" s="25" t="n">
        <f aca="false">IFERROR(IF(B26=0,0,D26/B26),0)</f>
        <v>0</v>
      </c>
      <c r="F26" s="28"/>
      <c r="G26" s="28"/>
      <c r="H26" s="30"/>
    </row>
    <row r="27" customFormat="false" ht="15" hidden="false" customHeight="true" outlineLevel="0" collapsed="false">
      <c r="A27" s="27"/>
      <c r="B27" s="30"/>
      <c r="C27" s="29"/>
      <c r="D27" s="20" t="n">
        <f aca="false">IFERROR(B27*C27,0)</f>
        <v>0</v>
      </c>
      <c r="E27" s="25" t="n">
        <f aca="false">IFERROR(IF(B27=0,0,D27/B27),0)</f>
        <v>0</v>
      </c>
      <c r="F27" s="28"/>
      <c r="G27" s="28"/>
      <c r="H27" s="30"/>
    </row>
    <row r="28" customFormat="false" ht="15" hidden="false" customHeight="true" outlineLevel="0" collapsed="false">
      <c r="A28" s="27"/>
      <c r="B28" s="30"/>
      <c r="C28" s="29"/>
      <c r="D28" s="20" t="n">
        <f aca="false">IFERROR(B28*C28,0)</f>
        <v>0</v>
      </c>
      <c r="E28" s="25" t="n">
        <f aca="false">IFERROR(IF(B28=0,0,D28/B28),0)</f>
        <v>0</v>
      </c>
      <c r="F28" s="28"/>
      <c r="G28" s="28"/>
      <c r="H28" s="30"/>
    </row>
    <row r="29" customFormat="false" ht="15" hidden="false" customHeight="true" outlineLevel="0" collapsed="false">
      <c r="A29" s="27"/>
      <c r="B29" s="30"/>
      <c r="C29" s="29"/>
      <c r="D29" s="20" t="n">
        <f aca="false">IFERROR(B29*C29,0)</f>
        <v>0</v>
      </c>
      <c r="E29" s="25" t="n">
        <f aca="false">IFERROR(IF(B29=0,0,D29/B29),0)</f>
        <v>0</v>
      </c>
      <c r="F29" s="28"/>
      <c r="G29" s="28"/>
      <c r="H29" s="30"/>
    </row>
    <row r="30" customFormat="false" ht="15" hidden="false" customHeight="true" outlineLevel="0" collapsed="false">
      <c r="A30" s="27"/>
      <c r="B30" s="30"/>
      <c r="C30" s="29"/>
      <c r="D30" s="20" t="n">
        <f aca="false">IFERROR(B30*C30,0)</f>
        <v>0</v>
      </c>
      <c r="E30" s="25" t="n">
        <f aca="false">IFERROR(IF(B30=0,0,D30/B30),0)</f>
        <v>0</v>
      </c>
      <c r="F30" s="28"/>
      <c r="G30" s="28"/>
      <c r="H30" s="30"/>
    </row>
    <row r="31" customFormat="false" ht="15" hidden="false" customHeight="true" outlineLevel="0" collapsed="false">
      <c r="A31" s="27"/>
      <c r="B31" s="30"/>
      <c r="C31" s="29"/>
      <c r="D31" s="20" t="n">
        <f aca="false">IFERROR(B31*C31,0)</f>
        <v>0</v>
      </c>
      <c r="E31" s="25" t="n">
        <f aca="false">IFERROR(IF(B31=0,0,D31/B31),0)</f>
        <v>0</v>
      </c>
      <c r="F31" s="28"/>
      <c r="G31" s="28"/>
      <c r="H31" s="30"/>
    </row>
    <row r="32" customFormat="false" ht="15" hidden="false" customHeight="true" outlineLevel="0" collapsed="false">
      <c r="A32" s="27"/>
      <c r="B32" s="30"/>
      <c r="C32" s="29"/>
      <c r="D32" s="20" t="n">
        <f aca="false">IFERROR(B32*C32,0)</f>
        <v>0</v>
      </c>
      <c r="E32" s="25" t="n">
        <f aca="false">IFERROR(IF(B32=0,0,D32/B32),0)</f>
        <v>0</v>
      </c>
      <c r="F32" s="28"/>
      <c r="G32" s="28"/>
      <c r="H32" s="30"/>
    </row>
    <row r="33" customFormat="false" ht="15" hidden="false" customHeight="true" outlineLevel="0" collapsed="false">
      <c r="A33" s="27"/>
      <c r="B33" s="30"/>
      <c r="C33" s="29"/>
      <c r="D33" s="20" t="n">
        <f aca="false">IFERROR(B33*C33,0)</f>
        <v>0</v>
      </c>
      <c r="E33" s="25" t="n">
        <f aca="false">IFERROR(IF(B33=0,0,D33/B33),0)</f>
        <v>0</v>
      </c>
      <c r="F33" s="28"/>
      <c r="G33" s="28"/>
      <c r="H33" s="30"/>
    </row>
    <row r="34" customFormat="false" ht="15" hidden="false" customHeight="true" outlineLevel="0" collapsed="false">
      <c r="A34" s="27"/>
      <c r="B34" s="30"/>
      <c r="C34" s="29"/>
      <c r="D34" s="20" t="n">
        <f aca="false">IFERROR(B34*C34,0)</f>
        <v>0</v>
      </c>
      <c r="E34" s="25" t="n">
        <f aca="false">IFERROR(IF(B34=0,0,D34/B34),0)</f>
        <v>0</v>
      </c>
      <c r="F34" s="28"/>
      <c r="G34" s="28"/>
      <c r="H34" s="30"/>
    </row>
    <row r="35" customFormat="false" ht="15" hidden="false" customHeight="true" outlineLevel="0" collapsed="false">
      <c r="A35" s="27"/>
      <c r="B35" s="30"/>
      <c r="C35" s="29"/>
      <c r="D35" s="20" t="n">
        <f aca="false">IFERROR(B35*C35,0)</f>
        <v>0</v>
      </c>
      <c r="E35" s="25" t="n">
        <f aca="false">IFERROR(IF(B35=0,0,D35/B35),0)</f>
        <v>0</v>
      </c>
      <c r="F35" s="28"/>
      <c r="G35" s="28"/>
      <c r="H35" s="30"/>
    </row>
    <row r="36" customFormat="false" ht="15" hidden="false" customHeight="true" outlineLevel="0" collapsed="false">
      <c r="A36" s="27"/>
      <c r="B36" s="30"/>
      <c r="C36" s="29"/>
      <c r="D36" s="20" t="n">
        <f aca="false">IFERROR(B36*C36,0)</f>
        <v>0</v>
      </c>
      <c r="E36" s="25" t="n">
        <f aca="false">IFERROR(IF(B36=0,0,D36/B36),0)</f>
        <v>0</v>
      </c>
      <c r="F36" s="28"/>
      <c r="G36" s="28"/>
      <c r="H36" s="30"/>
    </row>
    <row r="37" customFormat="false" ht="15" hidden="false" customHeight="true" outlineLevel="0" collapsed="false">
      <c r="A37" s="27"/>
      <c r="B37" s="30"/>
      <c r="C37" s="29"/>
      <c r="D37" s="20" t="n">
        <f aca="false">IFERROR(B37*C37,0)</f>
        <v>0</v>
      </c>
      <c r="E37" s="25" t="n">
        <f aca="false">IFERROR(IF(B37=0,0,D37/B37),0)</f>
        <v>0</v>
      </c>
      <c r="F37" s="28"/>
      <c r="G37" s="28"/>
      <c r="H37" s="30"/>
    </row>
    <row r="38" customFormat="false" ht="15" hidden="false" customHeight="true" outlineLevel="0" collapsed="false">
      <c r="A38" s="27"/>
      <c r="B38" s="30"/>
      <c r="C38" s="29"/>
      <c r="D38" s="20" t="n">
        <f aca="false">IFERROR(B38*C38,0)</f>
        <v>0</v>
      </c>
      <c r="E38" s="25" t="n">
        <f aca="false">IFERROR(IF(B38=0,0,D38/B38),0)</f>
        <v>0</v>
      </c>
      <c r="F38" s="28"/>
      <c r="G38" s="28"/>
      <c r="H38" s="30"/>
    </row>
    <row r="39" customFormat="false" ht="15" hidden="false" customHeight="true" outlineLevel="0" collapsed="false">
      <c r="A39" s="27"/>
      <c r="B39" s="30"/>
      <c r="C39" s="29"/>
      <c r="D39" s="20" t="n">
        <f aca="false">IFERROR(B39*C39,0)</f>
        <v>0</v>
      </c>
      <c r="E39" s="25" t="n">
        <f aca="false">IFERROR(IF(B39=0,0,D39/B39),0)</f>
        <v>0</v>
      </c>
      <c r="F39" s="28"/>
      <c r="G39" s="28"/>
      <c r="H39" s="30"/>
    </row>
    <row r="40" customFormat="false" ht="15" hidden="false" customHeight="true" outlineLevel="0" collapsed="false">
      <c r="A40" s="27"/>
      <c r="B40" s="30"/>
      <c r="C40" s="29"/>
      <c r="D40" s="20" t="n">
        <f aca="false">IFERROR(B40*C40,0)</f>
        <v>0</v>
      </c>
      <c r="E40" s="25" t="n">
        <f aca="false">IFERROR(IF(B40=0,0,D40/B40),0)</f>
        <v>0</v>
      </c>
      <c r="F40" s="28"/>
      <c r="G40" s="28"/>
      <c r="H40" s="30"/>
    </row>
    <row r="41" customFormat="false" ht="15" hidden="false" customHeight="true" outlineLevel="0" collapsed="false">
      <c r="A41" s="27"/>
      <c r="B41" s="30"/>
      <c r="C41" s="29"/>
      <c r="D41" s="20" t="n">
        <f aca="false">IFERROR(B41*C41,0)</f>
        <v>0</v>
      </c>
      <c r="E41" s="25" t="n">
        <f aca="false">IFERROR(IF(B41=0,0,D41/B41),0)</f>
        <v>0</v>
      </c>
      <c r="F41" s="28"/>
      <c r="G41" s="28"/>
      <c r="H41" s="30"/>
    </row>
    <row r="42" customFormat="false" ht="15" hidden="false" customHeight="true" outlineLevel="0" collapsed="false">
      <c r="A42" s="27"/>
      <c r="B42" s="30"/>
      <c r="C42" s="29"/>
      <c r="D42" s="20" t="n">
        <f aca="false">IFERROR(B42*C42,0)</f>
        <v>0</v>
      </c>
      <c r="E42" s="25" t="n">
        <f aca="false">IFERROR(IF(B42=0,0,D42/B42),0)</f>
        <v>0</v>
      </c>
      <c r="F42" s="28"/>
      <c r="G42" s="28"/>
      <c r="H42" s="30"/>
    </row>
    <row r="43" customFormat="false" ht="15" hidden="false" customHeight="true" outlineLevel="0" collapsed="false">
      <c r="A43" s="27"/>
      <c r="B43" s="30"/>
      <c r="C43" s="29"/>
      <c r="D43" s="20" t="n">
        <f aca="false">IFERROR(B43*C43,0)</f>
        <v>0</v>
      </c>
      <c r="E43" s="25" t="n">
        <f aca="false">IFERROR(IF(B43=0,0,D43/B43),0)</f>
        <v>0</v>
      </c>
      <c r="F43" s="28"/>
      <c r="G43" s="28"/>
      <c r="H43" s="30"/>
    </row>
    <row r="44" customFormat="false" ht="15" hidden="false" customHeight="true" outlineLevel="0" collapsed="false">
      <c r="A44" s="27"/>
      <c r="B44" s="30"/>
      <c r="C44" s="29"/>
      <c r="D44" s="20" t="n">
        <f aca="false">IFERROR(B44*C44,0)</f>
        <v>0</v>
      </c>
      <c r="E44" s="25" t="n">
        <f aca="false">IFERROR(IF(B44=0,0,D44/B44),0)</f>
        <v>0</v>
      </c>
      <c r="F44" s="28"/>
      <c r="G44" s="28"/>
      <c r="H44" s="30"/>
    </row>
    <row r="45" customFormat="false" ht="15" hidden="false" customHeight="true" outlineLevel="0" collapsed="false">
      <c r="A45" s="27"/>
      <c r="B45" s="30"/>
      <c r="C45" s="29"/>
      <c r="D45" s="20" t="n">
        <f aca="false">IFERROR(B45*C45,0)</f>
        <v>0</v>
      </c>
      <c r="E45" s="25" t="n">
        <f aca="false">IFERROR(IF(B45=0,0,D45/B45),0)</f>
        <v>0</v>
      </c>
      <c r="F45" s="28"/>
      <c r="G45" s="28"/>
      <c r="H45" s="30"/>
    </row>
    <row r="46" customFormat="false" ht="15" hidden="false" customHeight="true" outlineLevel="0" collapsed="false">
      <c r="A46" s="27"/>
      <c r="B46" s="30"/>
      <c r="C46" s="29"/>
      <c r="D46" s="20" t="n">
        <f aca="false">IFERROR(B46*C46,0)</f>
        <v>0</v>
      </c>
      <c r="E46" s="25" t="n">
        <f aca="false">IFERROR(IF(B46=0,0,D46/B46),0)</f>
        <v>0</v>
      </c>
      <c r="F46" s="28"/>
      <c r="G46" s="28"/>
      <c r="H46" s="30"/>
    </row>
    <row r="47" customFormat="false" ht="15" hidden="false" customHeight="true" outlineLevel="0" collapsed="false">
      <c r="A47" s="27"/>
      <c r="B47" s="30"/>
      <c r="C47" s="29"/>
      <c r="D47" s="20" t="n">
        <f aca="false">IFERROR(B47*C47,0)</f>
        <v>0</v>
      </c>
      <c r="E47" s="25" t="n">
        <f aca="false">IFERROR(IF(B47=0,0,D47/B47),0)</f>
        <v>0</v>
      </c>
      <c r="F47" s="28"/>
      <c r="G47" s="28"/>
      <c r="H47" s="30"/>
    </row>
    <row r="48" customFormat="false" ht="15" hidden="false" customHeight="true" outlineLevel="0" collapsed="false">
      <c r="A48" s="27"/>
      <c r="B48" s="30"/>
      <c r="C48" s="29"/>
      <c r="D48" s="20" t="n">
        <f aca="false">IFERROR(B48*C48,0)</f>
        <v>0</v>
      </c>
      <c r="E48" s="25" t="n">
        <f aca="false">IFERROR(IF(B48=0,0,D48/B48),0)</f>
        <v>0</v>
      </c>
      <c r="F48" s="28"/>
      <c r="G48" s="28"/>
      <c r="H48" s="30"/>
    </row>
    <row r="49" customFormat="false" ht="15" hidden="false" customHeight="true" outlineLevel="0" collapsed="false">
      <c r="A49" s="27"/>
      <c r="B49" s="30"/>
      <c r="C49" s="29"/>
      <c r="D49" s="20" t="n">
        <f aca="false">IFERROR(B49*C49,0)</f>
        <v>0</v>
      </c>
      <c r="E49" s="25" t="n">
        <f aca="false">IFERROR(IF(B49=0,0,D49/B49),0)</f>
        <v>0</v>
      </c>
      <c r="F49" s="28"/>
      <c r="G49" s="28"/>
      <c r="H49" s="30"/>
    </row>
    <row r="50" customFormat="false" ht="15" hidden="false" customHeight="true" outlineLevel="0" collapsed="false">
      <c r="A50" s="27"/>
      <c r="B50" s="30"/>
      <c r="C50" s="29"/>
      <c r="D50" s="20" t="n">
        <f aca="false">IFERROR(B50*C50,0)</f>
        <v>0</v>
      </c>
      <c r="E50" s="25" t="n">
        <f aca="false">IFERROR(IF(B50=0,0,D50/B50),0)</f>
        <v>0</v>
      </c>
      <c r="F50" s="28"/>
      <c r="G50" s="28"/>
      <c r="H50" s="30"/>
    </row>
    <row r="51" customFormat="false" ht="15" hidden="false" customHeight="true" outlineLevel="0" collapsed="false">
      <c r="A51" s="27"/>
      <c r="B51" s="30"/>
      <c r="C51" s="29"/>
      <c r="D51" s="20" t="n">
        <f aca="false">IFERROR(B51*C51,0)</f>
        <v>0</v>
      </c>
      <c r="E51" s="25" t="n">
        <f aca="false">IFERROR(IF(B51=0,0,D51/B51),0)</f>
        <v>0</v>
      </c>
      <c r="F51" s="28"/>
      <c r="G51" s="28"/>
      <c r="H51" s="30"/>
    </row>
    <row r="52" customFormat="false" ht="15" hidden="false" customHeight="true" outlineLevel="0" collapsed="false">
      <c r="A52" s="27"/>
      <c r="B52" s="30"/>
      <c r="C52" s="29"/>
      <c r="D52" s="20" t="n">
        <f aca="false">IFERROR(B52*C52,0)</f>
        <v>0</v>
      </c>
      <c r="E52" s="25" t="n">
        <f aca="false">IFERROR(IF(B52=0,0,D52/B52),0)</f>
        <v>0</v>
      </c>
      <c r="F52" s="28"/>
      <c r="G52" s="28"/>
      <c r="H52" s="30"/>
    </row>
    <row r="53" customFormat="false" ht="15" hidden="false" customHeight="true" outlineLevel="0" collapsed="false">
      <c r="A53" s="27"/>
      <c r="B53" s="30"/>
      <c r="C53" s="29"/>
      <c r="D53" s="20" t="n">
        <f aca="false">IFERROR(B53*C53,0)</f>
        <v>0</v>
      </c>
      <c r="E53" s="25" t="n">
        <f aca="false">IFERROR(IF(B53=0,0,D53/B53),0)</f>
        <v>0</v>
      </c>
      <c r="F53" s="28"/>
      <c r="G53" s="28"/>
      <c r="H53" s="30"/>
    </row>
    <row r="54" customFormat="false" ht="15" hidden="false" customHeight="true" outlineLevel="0" collapsed="false">
      <c r="A54" s="27"/>
      <c r="B54" s="30"/>
      <c r="C54" s="29"/>
      <c r="D54" s="20" t="n">
        <f aca="false">IFERROR(B54*C54,0)</f>
        <v>0</v>
      </c>
      <c r="E54" s="25" t="n">
        <f aca="false">IFERROR(IF(B54=0,0,D54/B54),0)</f>
        <v>0</v>
      </c>
      <c r="F54" s="28"/>
      <c r="G54" s="28"/>
      <c r="H54" s="30"/>
    </row>
    <row r="55" customFormat="false" ht="15" hidden="false" customHeight="true" outlineLevel="0" collapsed="false">
      <c r="A55" s="27"/>
      <c r="B55" s="30"/>
      <c r="C55" s="29"/>
      <c r="D55" s="20" t="n">
        <f aca="false">IFERROR(B55*C55,0)</f>
        <v>0</v>
      </c>
      <c r="E55" s="25" t="n">
        <f aca="false">IFERROR(IF(B55=0,0,D55/B55),0)</f>
        <v>0</v>
      </c>
      <c r="F55" s="28"/>
      <c r="G55" s="28"/>
      <c r="H55" s="30"/>
    </row>
    <row r="56" customFormat="false" ht="15" hidden="false" customHeight="true" outlineLevel="0" collapsed="false">
      <c r="A56" s="27"/>
      <c r="B56" s="30"/>
      <c r="C56" s="29"/>
      <c r="D56" s="20" t="n">
        <f aca="false">IFERROR(B56*C56,0)</f>
        <v>0</v>
      </c>
      <c r="E56" s="25" t="n">
        <f aca="false">IFERROR(IF(B56=0,0,D56/B56),0)</f>
        <v>0</v>
      </c>
      <c r="F56" s="28"/>
      <c r="G56" s="28"/>
      <c r="H56" s="30"/>
    </row>
    <row r="57" customFormat="false" ht="15" hidden="false" customHeight="true" outlineLevel="0" collapsed="false">
      <c r="A57" s="27"/>
      <c r="B57" s="30"/>
      <c r="C57" s="29"/>
      <c r="D57" s="20" t="n">
        <f aca="false">IFERROR(B57*C57,0)</f>
        <v>0</v>
      </c>
      <c r="E57" s="25" t="n">
        <f aca="false">IFERROR(IF(B57=0,0,D57/B57),0)</f>
        <v>0</v>
      </c>
      <c r="F57" s="28"/>
      <c r="G57" s="28"/>
      <c r="H57" s="30"/>
    </row>
    <row r="58" customFormat="false" ht="15" hidden="false" customHeight="true" outlineLevel="0" collapsed="false">
      <c r="A58" s="27"/>
      <c r="B58" s="30"/>
      <c r="C58" s="29"/>
      <c r="D58" s="20" t="n">
        <f aca="false">IFERROR(B58*C58,0)</f>
        <v>0</v>
      </c>
      <c r="E58" s="25" t="n">
        <f aca="false">IFERROR(IF(B58=0,0,D58/B58),0)</f>
        <v>0</v>
      </c>
      <c r="F58" s="28"/>
      <c r="G58" s="28"/>
      <c r="H58" s="30"/>
    </row>
    <row r="59" customFormat="false" ht="15" hidden="false" customHeight="true" outlineLevel="0" collapsed="false">
      <c r="A59" s="27"/>
      <c r="B59" s="30"/>
      <c r="C59" s="29"/>
      <c r="D59" s="20" t="n">
        <f aca="false">IFERROR(B59*C59,0)</f>
        <v>0</v>
      </c>
      <c r="E59" s="25" t="n">
        <f aca="false">IFERROR(IF(B59=0,0,D59/B59),0)</f>
        <v>0</v>
      </c>
      <c r="F59" s="28"/>
      <c r="G59" s="28"/>
      <c r="H59" s="30"/>
    </row>
    <row r="60" customFormat="false" ht="15" hidden="false" customHeight="true" outlineLevel="0" collapsed="false">
      <c r="A60" s="27"/>
      <c r="B60" s="30"/>
      <c r="C60" s="29"/>
      <c r="D60" s="20" t="n">
        <f aca="false">IFERROR(B60*C60,0)</f>
        <v>0</v>
      </c>
      <c r="E60" s="25" t="n">
        <f aca="false">IFERROR(IF(B60=0,0,D60/B60),0)</f>
        <v>0</v>
      </c>
      <c r="F60" s="28"/>
      <c r="G60" s="28"/>
      <c r="H60" s="30"/>
    </row>
    <row r="61" customFormat="false" ht="15" hidden="false" customHeight="true" outlineLevel="0" collapsed="false">
      <c r="A61" s="27"/>
      <c r="B61" s="30"/>
      <c r="C61" s="29"/>
      <c r="D61" s="20" t="n">
        <f aca="false">IFERROR(B61*C61,0)</f>
        <v>0</v>
      </c>
      <c r="E61" s="25" t="n">
        <f aca="false">IFERROR(IF(B61=0,0,D61/B61),0)</f>
        <v>0</v>
      </c>
      <c r="F61" s="28"/>
      <c r="G61" s="28"/>
      <c r="H61" s="30"/>
    </row>
    <row r="62" customFormat="false" ht="15" hidden="false" customHeight="true" outlineLevel="0" collapsed="false">
      <c r="A62" s="27"/>
      <c r="B62" s="30"/>
      <c r="C62" s="29"/>
      <c r="D62" s="20" t="n">
        <f aca="false">IFERROR(B62*C62,0)</f>
        <v>0</v>
      </c>
      <c r="E62" s="25" t="n">
        <f aca="false">IFERROR(IF(B62=0,0,D62/B62),0)</f>
        <v>0</v>
      </c>
      <c r="F62" s="28"/>
      <c r="G62" s="28"/>
      <c r="H62" s="30"/>
    </row>
    <row r="63" customFormat="false" ht="15" hidden="false" customHeight="true" outlineLevel="0" collapsed="false">
      <c r="A63" s="27"/>
      <c r="B63" s="30"/>
      <c r="C63" s="29"/>
      <c r="D63" s="20" t="n">
        <f aca="false">IFERROR(B63*C63,0)</f>
        <v>0</v>
      </c>
      <c r="E63" s="25" t="n">
        <f aca="false">IFERROR(IF(B63=0,0,D63/B63),0)</f>
        <v>0</v>
      </c>
      <c r="F63" s="28"/>
      <c r="G63" s="28"/>
      <c r="H63" s="30"/>
    </row>
    <row r="64" customFormat="false" ht="15" hidden="false" customHeight="true" outlineLevel="0" collapsed="false">
      <c r="A64" s="27"/>
      <c r="B64" s="30"/>
      <c r="C64" s="29"/>
      <c r="D64" s="20" t="n">
        <f aca="false">IFERROR(B64*C64,0)</f>
        <v>0</v>
      </c>
      <c r="E64" s="25" t="n">
        <f aca="false">IFERROR(IF(B64=0,0,D64/B64),0)</f>
        <v>0</v>
      </c>
      <c r="F64" s="28"/>
      <c r="G64" s="28"/>
      <c r="H64" s="30"/>
    </row>
    <row r="65" customFormat="false" ht="15" hidden="false" customHeight="true" outlineLevel="0" collapsed="false">
      <c r="A65" s="27"/>
      <c r="B65" s="30"/>
      <c r="C65" s="29"/>
      <c r="D65" s="20" t="n">
        <f aca="false">IFERROR(B65*C65,0)</f>
        <v>0</v>
      </c>
      <c r="E65" s="25" t="n">
        <f aca="false">IFERROR(IF(B65=0,0,D65/B65),0)</f>
        <v>0</v>
      </c>
      <c r="F65" s="28"/>
      <c r="G65" s="28"/>
      <c r="H65" s="30"/>
    </row>
    <row r="66" customFormat="false" ht="15" hidden="false" customHeight="true" outlineLevel="0" collapsed="false">
      <c r="A66" s="27"/>
      <c r="B66" s="30"/>
      <c r="C66" s="29"/>
      <c r="D66" s="20" t="n">
        <f aca="false">IFERROR(B66*C66,0)</f>
        <v>0</v>
      </c>
      <c r="E66" s="25" t="n">
        <f aca="false">IFERROR(IF(B66=0,0,D66/B66),0)</f>
        <v>0</v>
      </c>
      <c r="F66" s="28"/>
      <c r="G66" s="28"/>
      <c r="H66" s="30"/>
    </row>
    <row r="67" customFormat="false" ht="15" hidden="false" customHeight="true" outlineLevel="0" collapsed="false">
      <c r="A67" s="27"/>
      <c r="B67" s="30"/>
      <c r="C67" s="29"/>
      <c r="D67" s="20" t="n">
        <f aca="false">IFERROR(B67*C67,0)</f>
        <v>0</v>
      </c>
      <c r="E67" s="25" t="n">
        <f aca="false">IFERROR(IF(B67=0,0,D67/B67),0)</f>
        <v>0</v>
      </c>
      <c r="F67" s="28"/>
      <c r="G67" s="28"/>
      <c r="H67" s="30"/>
    </row>
    <row r="68" customFormat="false" ht="15" hidden="false" customHeight="true" outlineLevel="0" collapsed="false">
      <c r="A68" s="27"/>
      <c r="B68" s="30"/>
      <c r="C68" s="29"/>
      <c r="D68" s="20" t="n">
        <f aca="false">IFERROR(B68*C68,0)</f>
        <v>0</v>
      </c>
      <c r="E68" s="25" t="n">
        <f aca="false">IFERROR(IF(B68=0,0,D68/B68),0)</f>
        <v>0</v>
      </c>
      <c r="F68" s="28"/>
      <c r="G68" s="28"/>
      <c r="H68" s="30"/>
    </row>
    <row r="69" customFormat="false" ht="15" hidden="false" customHeight="true" outlineLevel="0" collapsed="false">
      <c r="A69" s="27"/>
      <c r="B69" s="30"/>
      <c r="C69" s="29"/>
      <c r="D69" s="20" t="n">
        <f aca="false">IFERROR(B69*C69,0)</f>
        <v>0</v>
      </c>
      <c r="E69" s="25" t="n">
        <f aca="false">IFERROR(IF(B69=0,0,D69/B69),0)</f>
        <v>0</v>
      </c>
      <c r="F69" s="28"/>
      <c r="G69" s="28"/>
      <c r="H69" s="30"/>
    </row>
    <row r="70" customFormat="false" ht="15" hidden="false" customHeight="true" outlineLevel="0" collapsed="false">
      <c r="A70" s="27"/>
      <c r="B70" s="30"/>
      <c r="C70" s="29"/>
      <c r="D70" s="20" t="n">
        <f aca="false">IFERROR(B70*C70,0)</f>
        <v>0</v>
      </c>
      <c r="E70" s="25" t="n">
        <f aca="false">IFERROR(IF(B70=0,0,D70/B70),0)</f>
        <v>0</v>
      </c>
      <c r="F70" s="28"/>
      <c r="G70" s="28"/>
      <c r="H70" s="30"/>
    </row>
    <row r="71" customFormat="false" ht="15" hidden="false" customHeight="true" outlineLevel="0" collapsed="false">
      <c r="A71" s="27"/>
      <c r="B71" s="30"/>
      <c r="C71" s="29"/>
      <c r="D71" s="20" t="n">
        <f aca="false">IFERROR(B71*C71,0)</f>
        <v>0</v>
      </c>
      <c r="E71" s="25" t="n">
        <f aca="false">IFERROR(IF(B71=0,0,D71/B71),0)</f>
        <v>0</v>
      </c>
      <c r="F71" s="28"/>
      <c r="G71" s="28"/>
      <c r="H71" s="30"/>
    </row>
    <row r="72" customFormat="false" ht="15" hidden="false" customHeight="true" outlineLevel="0" collapsed="false">
      <c r="A72" s="27"/>
      <c r="B72" s="30"/>
      <c r="C72" s="29"/>
      <c r="D72" s="20" t="n">
        <f aca="false">IFERROR(B72*C72,0)</f>
        <v>0</v>
      </c>
      <c r="E72" s="25" t="n">
        <f aca="false">IFERROR(IF(B72=0,0,D72/B72),0)</f>
        <v>0</v>
      </c>
      <c r="F72" s="28"/>
      <c r="G72" s="28"/>
      <c r="H72" s="30"/>
    </row>
    <row r="73" customFormat="false" ht="15" hidden="false" customHeight="true" outlineLevel="0" collapsed="false">
      <c r="A73" s="27"/>
      <c r="B73" s="30"/>
      <c r="C73" s="29"/>
      <c r="D73" s="20" t="n">
        <f aca="false">IFERROR(B73*C73,0)</f>
        <v>0</v>
      </c>
      <c r="E73" s="25" t="n">
        <f aca="false">IFERROR(IF(B73=0,0,D73/B73),0)</f>
        <v>0</v>
      </c>
      <c r="F73" s="28"/>
      <c r="G73" s="28"/>
      <c r="H73" s="30"/>
    </row>
    <row r="74" customFormat="false" ht="15" hidden="false" customHeight="true" outlineLevel="0" collapsed="false">
      <c r="A74" s="27"/>
      <c r="B74" s="30"/>
      <c r="C74" s="29"/>
      <c r="D74" s="20" t="n">
        <f aca="false">IFERROR(B74*C74,0)</f>
        <v>0</v>
      </c>
      <c r="E74" s="25" t="n">
        <f aca="false">IFERROR(IF(B74=0,0,D74/B74),0)</f>
        <v>0</v>
      </c>
      <c r="F74" s="28"/>
      <c r="G74" s="28"/>
      <c r="H74" s="30"/>
    </row>
    <row r="75" customFormat="false" ht="15" hidden="false" customHeight="true" outlineLevel="0" collapsed="false">
      <c r="A75" s="27"/>
      <c r="B75" s="30"/>
      <c r="C75" s="29"/>
      <c r="D75" s="20" t="n">
        <f aca="false">IFERROR(B75*C75,0)</f>
        <v>0</v>
      </c>
      <c r="E75" s="25" t="n">
        <f aca="false">IFERROR(IF(B75=0,0,D75/B75),0)</f>
        <v>0</v>
      </c>
      <c r="F75" s="28"/>
      <c r="G75" s="28"/>
      <c r="H75" s="30"/>
    </row>
    <row r="76" customFormat="false" ht="15" hidden="false" customHeight="true" outlineLevel="0" collapsed="false">
      <c r="A76" s="27"/>
      <c r="B76" s="30"/>
      <c r="C76" s="29"/>
      <c r="D76" s="20" t="n">
        <f aca="false">IFERROR(B76*C76,0)</f>
        <v>0</v>
      </c>
      <c r="E76" s="25" t="n">
        <f aca="false">IFERROR(IF(B76=0,0,D76/B76),0)</f>
        <v>0</v>
      </c>
      <c r="F76" s="28"/>
      <c r="G76" s="28"/>
      <c r="H76" s="30"/>
    </row>
    <row r="77" customFormat="false" ht="15" hidden="false" customHeight="true" outlineLevel="0" collapsed="false">
      <c r="A77" s="27"/>
      <c r="B77" s="30"/>
      <c r="C77" s="29"/>
      <c r="D77" s="20" t="n">
        <f aca="false">IFERROR(B77*C77,0)</f>
        <v>0</v>
      </c>
      <c r="E77" s="25" t="n">
        <f aca="false">IFERROR(IF(B77=0,0,D77/B77),0)</f>
        <v>0</v>
      </c>
      <c r="F77" s="28"/>
      <c r="G77" s="28"/>
      <c r="H77" s="30"/>
    </row>
    <row r="78" customFormat="false" ht="15" hidden="false" customHeight="true" outlineLevel="0" collapsed="false">
      <c r="A78" s="27"/>
      <c r="B78" s="30"/>
      <c r="C78" s="29"/>
      <c r="D78" s="20" t="n">
        <f aca="false">IFERROR(B78*C78,0)</f>
        <v>0</v>
      </c>
      <c r="E78" s="25" t="n">
        <f aca="false">IFERROR(IF(B78=0,0,D78/B78),0)</f>
        <v>0</v>
      </c>
      <c r="F78" s="28"/>
      <c r="G78" s="28"/>
      <c r="H78" s="30"/>
    </row>
    <row r="79" customFormat="false" ht="15" hidden="false" customHeight="true" outlineLevel="0" collapsed="false">
      <c r="A79" s="27"/>
      <c r="B79" s="30"/>
      <c r="C79" s="29"/>
      <c r="D79" s="20" t="n">
        <f aca="false">IFERROR(B79*C79,0)</f>
        <v>0</v>
      </c>
      <c r="E79" s="25" t="n">
        <f aca="false">IFERROR(IF(B79=0,0,D79/B79),0)</f>
        <v>0</v>
      </c>
      <c r="F79" s="28"/>
      <c r="G79" s="28"/>
      <c r="H79" s="30"/>
    </row>
    <row r="80" customFormat="false" ht="15" hidden="false" customHeight="true" outlineLevel="0" collapsed="false">
      <c r="A80" s="27"/>
      <c r="B80" s="30"/>
      <c r="C80" s="29"/>
      <c r="D80" s="20" t="n">
        <f aca="false">IFERROR(B80*C80,0)</f>
        <v>0</v>
      </c>
      <c r="E80" s="25" t="n">
        <f aca="false">IFERROR(IF(B80=0,0,D80/B80),0)</f>
        <v>0</v>
      </c>
      <c r="F80" s="28"/>
      <c r="G80" s="28"/>
      <c r="H80" s="30"/>
    </row>
    <row r="81" customFormat="false" ht="15" hidden="false" customHeight="true" outlineLevel="0" collapsed="false">
      <c r="A81" s="27"/>
      <c r="B81" s="30"/>
      <c r="C81" s="29"/>
      <c r="D81" s="20" t="n">
        <f aca="false">IFERROR(B81*C81,0)</f>
        <v>0</v>
      </c>
      <c r="E81" s="25" t="n">
        <f aca="false">IFERROR(IF(B81=0,0,D81/B81),0)</f>
        <v>0</v>
      </c>
      <c r="F81" s="28"/>
      <c r="G81" s="28"/>
      <c r="H81" s="30"/>
    </row>
    <row r="82" customFormat="false" ht="15" hidden="false" customHeight="true" outlineLevel="0" collapsed="false">
      <c r="A82" s="27"/>
      <c r="B82" s="30"/>
      <c r="C82" s="29"/>
      <c r="D82" s="20" t="n">
        <f aca="false">IFERROR(B82*C82,0)</f>
        <v>0</v>
      </c>
      <c r="E82" s="25" t="n">
        <f aca="false">IFERROR(IF(B82=0,0,D82/B82),0)</f>
        <v>0</v>
      </c>
      <c r="F82" s="28"/>
      <c r="G82" s="28"/>
      <c r="H82" s="30"/>
    </row>
    <row r="83" customFormat="false" ht="15" hidden="false" customHeight="true" outlineLevel="0" collapsed="false">
      <c r="A83" s="27"/>
      <c r="B83" s="30"/>
      <c r="C83" s="29"/>
      <c r="D83" s="20" t="n">
        <f aca="false">IFERROR(B83*C83,0)</f>
        <v>0</v>
      </c>
      <c r="E83" s="25" t="n">
        <f aca="false">IFERROR(IF(B83=0,0,D83/B83),0)</f>
        <v>0</v>
      </c>
      <c r="F83" s="28"/>
      <c r="G83" s="28"/>
      <c r="H83" s="30"/>
    </row>
    <row r="84" customFormat="false" ht="15" hidden="false" customHeight="true" outlineLevel="0" collapsed="false">
      <c r="A84" s="27"/>
      <c r="B84" s="30"/>
      <c r="C84" s="29"/>
      <c r="D84" s="20" t="n">
        <f aca="false">IFERROR(B84*C84,0)</f>
        <v>0</v>
      </c>
      <c r="E84" s="25" t="n">
        <f aca="false">IFERROR(IF(B84=0,0,D84/B84),0)</f>
        <v>0</v>
      </c>
      <c r="F84" s="28"/>
      <c r="G84" s="28"/>
      <c r="H84" s="30"/>
    </row>
    <row r="85" customFormat="false" ht="15" hidden="false" customHeight="true" outlineLevel="0" collapsed="false">
      <c r="A85" s="27"/>
      <c r="B85" s="30"/>
      <c r="C85" s="29"/>
      <c r="D85" s="20" t="n">
        <f aca="false">IFERROR(B85*C85,0)</f>
        <v>0</v>
      </c>
      <c r="E85" s="25" t="n">
        <f aca="false">IFERROR(IF(B85=0,0,D85/B85),0)</f>
        <v>0</v>
      </c>
      <c r="F85" s="28"/>
      <c r="G85" s="28"/>
      <c r="H85" s="30"/>
    </row>
    <row r="86" customFormat="false" ht="15" hidden="false" customHeight="true" outlineLevel="0" collapsed="false">
      <c r="A86" s="27"/>
      <c r="B86" s="30"/>
      <c r="C86" s="29"/>
      <c r="D86" s="20" t="n">
        <f aca="false">IFERROR(B86*C86,0)</f>
        <v>0</v>
      </c>
      <c r="E86" s="25" t="n">
        <f aca="false">IFERROR(IF(B86=0,0,D86/B86),0)</f>
        <v>0</v>
      </c>
      <c r="F86" s="28"/>
      <c r="G86" s="28"/>
      <c r="H86" s="30"/>
    </row>
    <row r="87" customFormat="false" ht="15" hidden="false" customHeight="true" outlineLevel="0" collapsed="false">
      <c r="A87" s="27"/>
      <c r="B87" s="30"/>
      <c r="C87" s="29"/>
      <c r="D87" s="20" t="n">
        <f aca="false">IFERROR(B87*C87,0)</f>
        <v>0</v>
      </c>
      <c r="E87" s="25" t="n">
        <f aca="false">IFERROR(IF(B87=0,0,D87/B87),0)</f>
        <v>0</v>
      </c>
      <c r="F87" s="28"/>
      <c r="G87" s="28"/>
      <c r="H87" s="30"/>
    </row>
    <row r="88" customFormat="false" ht="15" hidden="false" customHeight="true" outlineLevel="0" collapsed="false">
      <c r="A88" s="27"/>
      <c r="B88" s="30"/>
      <c r="C88" s="29"/>
      <c r="D88" s="20" t="n">
        <f aca="false">IFERROR(B88*C88,0)</f>
        <v>0</v>
      </c>
      <c r="E88" s="25" t="n">
        <f aca="false">IFERROR(IF(B88=0,0,D88/B88),0)</f>
        <v>0</v>
      </c>
      <c r="F88" s="28"/>
      <c r="G88" s="28"/>
      <c r="H88" s="30"/>
    </row>
    <row r="89" customFormat="false" ht="15" hidden="false" customHeight="true" outlineLevel="0" collapsed="false">
      <c r="A89" s="27"/>
      <c r="B89" s="30"/>
      <c r="C89" s="29"/>
      <c r="D89" s="20" t="n">
        <f aca="false">IFERROR(B89*C89,0)</f>
        <v>0</v>
      </c>
      <c r="E89" s="25" t="n">
        <f aca="false">IFERROR(IF(B89=0,0,D89/B89),0)</f>
        <v>0</v>
      </c>
      <c r="F89" s="28"/>
      <c r="G89" s="28"/>
      <c r="H89" s="30"/>
    </row>
    <row r="90" customFormat="false" ht="15" hidden="false" customHeight="true" outlineLevel="0" collapsed="false">
      <c r="A90" s="27"/>
      <c r="B90" s="30"/>
      <c r="C90" s="29"/>
      <c r="D90" s="20" t="n">
        <f aca="false">IFERROR(B90*C90,0)</f>
        <v>0</v>
      </c>
      <c r="E90" s="25" t="n">
        <f aca="false">IFERROR(IF(B90=0,0,D90/B90),0)</f>
        <v>0</v>
      </c>
      <c r="F90" s="28"/>
      <c r="G90" s="28"/>
      <c r="H90" s="30"/>
    </row>
    <row r="91" customFormat="false" ht="15" hidden="false" customHeight="true" outlineLevel="0" collapsed="false">
      <c r="A91" s="27"/>
      <c r="B91" s="30"/>
      <c r="C91" s="29"/>
      <c r="D91" s="20" t="n">
        <f aca="false">IFERROR(B91*C91,0)</f>
        <v>0</v>
      </c>
      <c r="E91" s="25" t="n">
        <f aca="false">IFERROR(IF(B91=0,0,D91/B91),0)</f>
        <v>0</v>
      </c>
      <c r="F91" s="28"/>
      <c r="G91" s="28"/>
      <c r="H91" s="30"/>
    </row>
    <row r="92" customFormat="false" ht="15" hidden="false" customHeight="true" outlineLevel="0" collapsed="false">
      <c r="A92" s="27"/>
      <c r="B92" s="30"/>
      <c r="C92" s="29"/>
      <c r="D92" s="20" t="n">
        <f aca="false">IFERROR(B92*C92,0)</f>
        <v>0</v>
      </c>
      <c r="E92" s="25" t="n">
        <f aca="false">IFERROR(IF(B92=0,0,D92/B92),0)</f>
        <v>0</v>
      </c>
      <c r="F92" s="28"/>
      <c r="G92" s="28"/>
      <c r="H92" s="30"/>
    </row>
    <row r="93" customFormat="false" ht="15" hidden="false" customHeight="true" outlineLevel="0" collapsed="false">
      <c r="A93" s="27"/>
      <c r="B93" s="30"/>
      <c r="C93" s="29"/>
      <c r="D93" s="20" t="n">
        <f aca="false">IFERROR(B93*C93,0)</f>
        <v>0</v>
      </c>
      <c r="E93" s="25" t="n">
        <f aca="false">IFERROR(IF(B93=0,0,D93/B93),0)</f>
        <v>0</v>
      </c>
      <c r="F93" s="28"/>
      <c r="G93" s="28"/>
      <c r="H93" s="30"/>
    </row>
    <row r="94" customFormat="false" ht="15" hidden="false" customHeight="true" outlineLevel="0" collapsed="false">
      <c r="A94" s="27"/>
      <c r="B94" s="30"/>
      <c r="C94" s="29"/>
      <c r="D94" s="20" t="n">
        <f aca="false">IFERROR(B94*C94,0)</f>
        <v>0</v>
      </c>
      <c r="E94" s="25" t="n">
        <f aca="false">IFERROR(IF(B94=0,0,D94/B94),0)</f>
        <v>0</v>
      </c>
      <c r="F94" s="28"/>
      <c r="G94" s="28"/>
      <c r="H94" s="30"/>
    </row>
    <row r="95" customFormat="false" ht="15" hidden="false" customHeight="true" outlineLevel="0" collapsed="false">
      <c r="A95" s="27"/>
      <c r="B95" s="30"/>
      <c r="C95" s="29"/>
      <c r="D95" s="20" t="n">
        <f aca="false">IFERROR(B95*C95,0)</f>
        <v>0</v>
      </c>
      <c r="E95" s="25" t="n">
        <f aca="false">IFERROR(IF(B95=0,0,D95/B95),0)</f>
        <v>0</v>
      </c>
      <c r="F95" s="28"/>
      <c r="G95" s="28"/>
      <c r="H95" s="30"/>
    </row>
    <row r="96" customFormat="false" ht="15" hidden="false" customHeight="true" outlineLevel="0" collapsed="false">
      <c r="A96" s="27"/>
      <c r="B96" s="30"/>
      <c r="C96" s="29"/>
      <c r="D96" s="20" t="n">
        <f aca="false">IFERROR(B96*C96,0)</f>
        <v>0</v>
      </c>
      <c r="E96" s="25" t="n">
        <f aca="false">IFERROR(IF(B96=0,0,D96/B96),0)</f>
        <v>0</v>
      </c>
      <c r="F96" s="28"/>
      <c r="G96" s="28"/>
      <c r="H96" s="30"/>
    </row>
    <row r="97" customFormat="false" ht="15" hidden="false" customHeight="true" outlineLevel="0" collapsed="false">
      <c r="A97" s="27"/>
      <c r="B97" s="30"/>
      <c r="C97" s="29"/>
      <c r="D97" s="20" t="n">
        <f aca="false">IFERROR(B97*C97,0)</f>
        <v>0</v>
      </c>
      <c r="E97" s="25" t="n">
        <f aca="false">IFERROR(IF(B97=0,0,D97/B97),0)</f>
        <v>0</v>
      </c>
      <c r="F97" s="28"/>
      <c r="G97" s="28"/>
      <c r="H97" s="30"/>
    </row>
    <row r="98" customFormat="false" ht="15" hidden="false" customHeight="true" outlineLevel="0" collapsed="false">
      <c r="A98" s="27"/>
      <c r="B98" s="30"/>
      <c r="C98" s="29"/>
      <c r="D98" s="20" t="n">
        <f aca="false">IFERROR(B98*C98,0)</f>
        <v>0</v>
      </c>
      <c r="E98" s="25" t="n">
        <f aca="false">IFERROR(IF(B98=0,0,D98/B98),0)</f>
        <v>0</v>
      </c>
      <c r="F98" s="28"/>
      <c r="G98" s="28"/>
      <c r="H98" s="30"/>
    </row>
    <row r="99" customFormat="false" ht="15" hidden="false" customHeight="true" outlineLevel="0" collapsed="false">
      <c r="A99" s="27"/>
      <c r="B99" s="30"/>
      <c r="C99" s="29"/>
      <c r="D99" s="20" t="n">
        <f aca="false">IFERROR(B99*C99,0)</f>
        <v>0</v>
      </c>
      <c r="E99" s="25" t="n">
        <f aca="false">IFERROR(IF(B99=0,0,D99/B99),0)</f>
        <v>0</v>
      </c>
      <c r="F99" s="28"/>
      <c r="G99" s="28"/>
      <c r="H99" s="30"/>
    </row>
    <row r="100" customFormat="false" ht="15" hidden="false" customHeight="true" outlineLevel="0" collapsed="false">
      <c r="A100" s="27"/>
      <c r="B100" s="30"/>
      <c r="C100" s="29"/>
      <c r="D100" s="20" t="n">
        <f aca="false">IFERROR(B100*C100,0)</f>
        <v>0</v>
      </c>
      <c r="E100" s="25" t="n">
        <f aca="false">IFERROR(IF(B100=0,0,D100/B100),0)</f>
        <v>0</v>
      </c>
      <c r="F100" s="28"/>
      <c r="G100" s="28"/>
      <c r="H100" s="30"/>
    </row>
    <row r="101" customFormat="false" ht="15" hidden="false" customHeight="true" outlineLevel="0" collapsed="false">
      <c r="A101" s="27"/>
      <c r="B101" s="30"/>
      <c r="C101" s="29"/>
      <c r="D101" s="20" t="n">
        <f aca="false">IFERROR(B101*C101,0)</f>
        <v>0</v>
      </c>
      <c r="E101" s="25" t="n">
        <f aca="false">IFERROR(IF(B101=0,0,D101/B101),0)</f>
        <v>0</v>
      </c>
      <c r="F101" s="28"/>
      <c r="G101" s="28"/>
      <c r="H101" s="30"/>
    </row>
    <row r="102" customFormat="false" ht="15" hidden="false" customHeight="true" outlineLevel="0" collapsed="false">
      <c r="A102" s="27"/>
      <c r="B102" s="30"/>
      <c r="C102" s="29"/>
      <c r="D102" s="20" t="n">
        <f aca="false">IFERROR(B102*C102,0)</f>
        <v>0</v>
      </c>
      <c r="E102" s="25" t="n">
        <f aca="false">IFERROR(IF(B102=0,0,D102/B102),0)</f>
        <v>0</v>
      </c>
      <c r="F102" s="28"/>
      <c r="G102" s="28"/>
      <c r="H102" s="30"/>
    </row>
    <row r="103" customFormat="false" ht="15" hidden="false" customHeight="true" outlineLevel="0" collapsed="false">
      <c r="A103" s="27"/>
      <c r="B103" s="30"/>
      <c r="C103" s="29"/>
      <c r="D103" s="20" t="n">
        <f aca="false">IFERROR(B103*C103,0)</f>
        <v>0</v>
      </c>
      <c r="E103" s="25" t="n">
        <f aca="false">IFERROR(IF(B103=0,0,D103/B103),0)</f>
        <v>0</v>
      </c>
      <c r="F103" s="28"/>
      <c r="G103" s="28"/>
      <c r="H103" s="30"/>
    </row>
    <row r="104" customFormat="false" ht="15" hidden="false" customHeight="true" outlineLevel="0" collapsed="false">
      <c r="A104" s="27"/>
      <c r="B104" s="30"/>
      <c r="C104" s="29"/>
      <c r="D104" s="20" t="n">
        <f aca="false">IFERROR(B104*C104,0)</f>
        <v>0</v>
      </c>
      <c r="E104" s="25" t="n">
        <f aca="false">IFERROR(IF(B104=0,0,D104/B104),0)</f>
        <v>0</v>
      </c>
      <c r="F104" s="28"/>
      <c r="G104" s="28"/>
      <c r="H104" s="30"/>
    </row>
    <row r="105" customFormat="false" ht="15" hidden="false" customHeight="true" outlineLevel="0" collapsed="false">
      <c r="A105" s="27"/>
      <c r="B105" s="30"/>
      <c r="C105" s="29"/>
      <c r="D105" s="20" t="n">
        <f aca="false">IFERROR(B105*C105,0)</f>
        <v>0</v>
      </c>
      <c r="E105" s="25" t="n">
        <f aca="false">IFERROR(IF(B105=0,0,D105/B105),0)</f>
        <v>0</v>
      </c>
      <c r="F105" s="28"/>
      <c r="G105" s="28"/>
      <c r="H105" s="30"/>
    </row>
    <row r="106" customFormat="false" ht="15" hidden="false" customHeight="true" outlineLevel="0" collapsed="false">
      <c r="A106" s="27"/>
      <c r="B106" s="30"/>
      <c r="C106" s="29"/>
      <c r="D106" s="20" t="n">
        <f aca="false">IFERROR(B106*C106,0)</f>
        <v>0</v>
      </c>
      <c r="E106" s="25" t="n">
        <f aca="false">IFERROR(IF(B106=0,0,D106/B106),0)</f>
        <v>0</v>
      </c>
      <c r="F106" s="28"/>
      <c r="G106" s="28"/>
      <c r="H106" s="30"/>
    </row>
    <row r="107" customFormat="false" ht="15" hidden="false" customHeight="true" outlineLevel="0" collapsed="false">
      <c r="A107" s="27"/>
      <c r="B107" s="30"/>
      <c r="C107" s="29"/>
      <c r="D107" s="20" t="n">
        <f aca="false">IFERROR(B107*C107,0)</f>
        <v>0</v>
      </c>
      <c r="E107" s="25" t="n">
        <f aca="false">IFERROR(IF(B107=0,0,D107/B107),0)</f>
        <v>0</v>
      </c>
      <c r="F107" s="28"/>
      <c r="G107" s="28"/>
      <c r="H107" s="30"/>
    </row>
    <row r="108" customFormat="false" ht="15" hidden="false" customHeight="true" outlineLevel="0" collapsed="false">
      <c r="A108" s="27"/>
      <c r="B108" s="30"/>
      <c r="C108" s="29"/>
      <c r="D108" s="20" t="n">
        <f aca="false">IFERROR(B108*C108,0)</f>
        <v>0</v>
      </c>
      <c r="E108" s="25" t="n">
        <f aca="false">IFERROR(IF(B108=0,0,D108/B108),0)</f>
        <v>0</v>
      </c>
      <c r="F108" s="28"/>
      <c r="G108" s="28"/>
      <c r="H108" s="30"/>
    </row>
    <row r="109" customFormat="false" ht="15" hidden="false" customHeight="true" outlineLevel="0" collapsed="false">
      <c r="A109" s="27"/>
      <c r="B109" s="30"/>
      <c r="C109" s="29"/>
      <c r="D109" s="20" t="n">
        <f aca="false">IFERROR(B109*C109,0)</f>
        <v>0</v>
      </c>
      <c r="E109" s="25" t="n">
        <f aca="false">IFERROR(IF(B109=0,0,D109/B109),0)</f>
        <v>0</v>
      </c>
      <c r="F109" s="28"/>
      <c r="G109" s="28"/>
      <c r="H109" s="30"/>
    </row>
    <row r="110" customFormat="false" ht="15" hidden="false" customHeight="true" outlineLevel="0" collapsed="false">
      <c r="A110" s="27"/>
      <c r="B110" s="30"/>
      <c r="C110" s="29"/>
      <c r="D110" s="20" t="n">
        <f aca="false">IFERROR(B110*C110,0)</f>
        <v>0</v>
      </c>
      <c r="E110" s="25" t="n">
        <f aca="false">IFERROR(IF(B110=0,0,D110/B110),0)</f>
        <v>0</v>
      </c>
      <c r="F110" s="28"/>
      <c r="G110" s="28"/>
      <c r="H110" s="30"/>
    </row>
    <row r="111" customFormat="false" ht="15" hidden="false" customHeight="true" outlineLevel="0" collapsed="false">
      <c r="A111" s="27"/>
      <c r="B111" s="30"/>
      <c r="C111" s="29"/>
      <c r="D111" s="20" t="n">
        <f aca="false">IFERROR(B111*C111,0)</f>
        <v>0</v>
      </c>
      <c r="E111" s="25" t="n">
        <f aca="false">IFERROR(IF(B111=0,0,D111/B111),0)</f>
        <v>0</v>
      </c>
      <c r="F111" s="28"/>
      <c r="G111" s="28"/>
      <c r="H111" s="30"/>
    </row>
    <row r="112" customFormat="false" ht="15" hidden="false" customHeight="true" outlineLevel="0" collapsed="false">
      <c r="A112" s="27"/>
      <c r="B112" s="30"/>
      <c r="C112" s="29"/>
      <c r="D112" s="20" t="n">
        <f aca="false">IFERROR(B112*C112,0)</f>
        <v>0</v>
      </c>
      <c r="E112" s="25" t="n">
        <f aca="false">IFERROR(IF(B112=0,0,D112/B112),0)</f>
        <v>0</v>
      </c>
      <c r="F112" s="28"/>
      <c r="G112" s="28"/>
      <c r="H112" s="30"/>
    </row>
    <row r="113" customFormat="false" ht="15" hidden="false" customHeight="true" outlineLevel="0" collapsed="false">
      <c r="A113" s="27"/>
      <c r="B113" s="30"/>
      <c r="C113" s="29"/>
      <c r="D113" s="20" t="n">
        <f aca="false">IFERROR(B113*C113,0)</f>
        <v>0</v>
      </c>
      <c r="E113" s="25" t="n">
        <f aca="false">IFERROR(IF(B113=0,0,D113/B113),0)</f>
        <v>0</v>
      </c>
      <c r="F113" s="28"/>
      <c r="G113" s="28"/>
      <c r="H113" s="30"/>
    </row>
    <row r="114" customFormat="false" ht="15" hidden="false" customHeight="true" outlineLevel="0" collapsed="false">
      <c r="A114" s="27"/>
      <c r="B114" s="30"/>
      <c r="C114" s="29"/>
      <c r="D114" s="20" t="n">
        <f aca="false">IFERROR(B114*C114,0)</f>
        <v>0</v>
      </c>
      <c r="E114" s="25" t="n">
        <f aca="false">IFERROR(IF(B114=0,0,D114/B114),0)</f>
        <v>0</v>
      </c>
      <c r="F114" s="28"/>
      <c r="G114" s="28"/>
      <c r="H114" s="30"/>
    </row>
    <row r="115" customFormat="false" ht="15" hidden="false" customHeight="true" outlineLevel="0" collapsed="false">
      <c r="A115" s="27"/>
      <c r="B115" s="30"/>
      <c r="C115" s="29"/>
      <c r="D115" s="20" t="n">
        <f aca="false">IFERROR(B115*C115,0)</f>
        <v>0</v>
      </c>
      <c r="E115" s="25" t="n">
        <f aca="false">IFERROR(IF(B115=0,0,D115/B115),0)</f>
        <v>0</v>
      </c>
      <c r="F115" s="28"/>
      <c r="G115" s="28"/>
      <c r="H115" s="30"/>
    </row>
    <row r="116" customFormat="false" ht="15" hidden="false" customHeight="true" outlineLevel="0" collapsed="false">
      <c r="A116" s="27"/>
      <c r="B116" s="30"/>
      <c r="C116" s="29"/>
      <c r="D116" s="20" t="n">
        <f aca="false">IFERROR(B116*C116,0)</f>
        <v>0</v>
      </c>
      <c r="E116" s="25" t="n">
        <f aca="false">IFERROR(IF(B116=0,0,D116/B116),0)</f>
        <v>0</v>
      </c>
      <c r="F116" s="28"/>
      <c r="G116" s="28"/>
      <c r="H116" s="30"/>
    </row>
    <row r="117" customFormat="false" ht="15" hidden="false" customHeight="true" outlineLevel="0" collapsed="false">
      <c r="A117" s="27"/>
      <c r="B117" s="30"/>
      <c r="C117" s="29"/>
      <c r="D117" s="20" t="n">
        <f aca="false">IFERROR(B117*C117,0)</f>
        <v>0</v>
      </c>
      <c r="E117" s="25" t="n">
        <f aca="false">IFERROR(IF(B117=0,0,D117/B117),0)</f>
        <v>0</v>
      </c>
      <c r="F117" s="28"/>
      <c r="G117" s="28"/>
      <c r="H117" s="30"/>
    </row>
    <row r="118" customFormat="false" ht="15" hidden="false" customHeight="true" outlineLevel="0" collapsed="false">
      <c r="A118" s="27"/>
      <c r="B118" s="30"/>
      <c r="C118" s="29"/>
      <c r="D118" s="20" t="n">
        <f aca="false">IFERROR(B118*C118,0)</f>
        <v>0</v>
      </c>
      <c r="E118" s="25" t="n">
        <f aca="false">IFERROR(IF(B118=0,0,D118/B118),0)</f>
        <v>0</v>
      </c>
      <c r="F118" s="28"/>
      <c r="G118" s="28"/>
      <c r="H118" s="30"/>
    </row>
    <row r="119" customFormat="false" ht="15" hidden="false" customHeight="true" outlineLevel="0" collapsed="false">
      <c r="A119" s="27"/>
      <c r="B119" s="30"/>
      <c r="C119" s="29"/>
      <c r="D119" s="20" t="n">
        <f aca="false">IFERROR(B119*C119,0)</f>
        <v>0</v>
      </c>
      <c r="E119" s="25" t="n">
        <f aca="false">IFERROR(IF(B119=0,0,D119/B119),0)</f>
        <v>0</v>
      </c>
      <c r="F119" s="28"/>
      <c r="G119" s="28"/>
      <c r="H119" s="30"/>
    </row>
    <row r="120" customFormat="false" ht="15" hidden="false" customHeight="true" outlineLevel="0" collapsed="false">
      <c r="A120" s="27"/>
      <c r="B120" s="30"/>
      <c r="C120" s="29"/>
      <c r="D120" s="20" t="n">
        <f aca="false">IFERROR(B120*C120,0)</f>
        <v>0</v>
      </c>
      <c r="E120" s="25" t="n">
        <f aca="false">IFERROR(IF(B120=0,0,D120/B120),0)</f>
        <v>0</v>
      </c>
      <c r="F120" s="28"/>
      <c r="G120" s="28"/>
      <c r="H120" s="30"/>
    </row>
    <row r="121" customFormat="false" ht="15" hidden="false" customHeight="true" outlineLevel="0" collapsed="false">
      <c r="A121" s="27"/>
      <c r="B121" s="30"/>
      <c r="C121" s="29"/>
      <c r="D121" s="20" t="n">
        <f aca="false">IFERROR(B121*C121,0)</f>
        <v>0</v>
      </c>
      <c r="E121" s="25" t="n">
        <f aca="false">IFERROR(IF(B121=0,0,D121/B121),0)</f>
        <v>0</v>
      </c>
      <c r="F121" s="28"/>
      <c r="G121" s="28"/>
      <c r="H121" s="30"/>
    </row>
    <row r="122" customFormat="false" ht="15" hidden="false" customHeight="true" outlineLevel="0" collapsed="false">
      <c r="A122" s="27"/>
      <c r="B122" s="30"/>
      <c r="C122" s="29"/>
      <c r="D122" s="20" t="n">
        <f aca="false">IFERROR(B122*C122,0)</f>
        <v>0</v>
      </c>
      <c r="E122" s="25" t="n">
        <f aca="false">IFERROR(IF(B122=0,0,D122/B122),0)</f>
        <v>0</v>
      </c>
      <c r="F122" s="28"/>
      <c r="G122" s="28"/>
      <c r="H122" s="30"/>
    </row>
    <row r="123" customFormat="false" ht="15" hidden="false" customHeight="true" outlineLevel="0" collapsed="false">
      <c r="A123" s="27"/>
      <c r="B123" s="30"/>
      <c r="C123" s="29"/>
      <c r="D123" s="20" t="n">
        <f aca="false">IFERROR(B123*C123,0)</f>
        <v>0</v>
      </c>
      <c r="E123" s="25" t="n">
        <f aca="false">IFERROR(IF(B123=0,0,D123/B123),0)</f>
        <v>0</v>
      </c>
      <c r="F123" s="28"/>
      <c r="G123" s="28"/>
      <c r="H123" s="30"/>
    </row>
    <row r="124" customFormat="false" ht="15" hidden="false" customHeight="true" outlineLevel="0" collapsed="false">
      <c r="A124" s="27"/>
      <c r="B124" s="30"/>
      <c r="C124" s="29"/>
      <c r="D124" s="20" t="n">
        <f aca="false">IFERROR(B124*C124,0)</f>
        <v>0</v>
      </c>
      <c r="E124" s="25" t="n">
        <f aca="false">IFERROR(IF(B124=0,0,D124/B124),0)</f>
        <v>0</v>
      </c>
      <c r="F124" s="28"/>
      <c r="G124" s="28"/>
      <c r="H124" s="30"/>
    </row>
    <row r="125" customFormat="false" ht="15" hidden="false" customHeight="true" outlineLevel="0" collapsed="false">
      <c r="A125" s="27"/>
      <c r="B125" s="30"/>
      <c r="C125" s="29"/>
      <c r="D125" s="20" t="n">
        <f aca="false">IFERROR(B125*C125,0)</f>
        <v>0</v>
      </c>
      <c r="E125" s="25" t="n">
        <f aca="false">IFERROR(IF(B125=0,0,D125/B125),0)</f>
        <v>0</v>
      </c>
      <c r="F125" s="28"/>
      <c r="G125" s="28"/>
      <c r="H125" s="30"/>
    </row>
    <row r="126" customFormat="false" ht="15" hidden="false" customHeight="true" outlineLevel="0" collapsed="false">
      <c r="A126" s="27"/>
      <c r="B126" s="30"/>
      <c r="C126" s="29"/>
      <c r="D126" s="20" t="n">
        <f aca="false">IFERROR(B126*C126,0)</f>
        <v>0</v>
      </c>
      <c r="E126" s="25" t="n">
        <f aca="false">IFERROR(IF(B126=0,0,D126/B126),0)</f>
        <v>0</v>
      </c>
      <c r="F126" s="28"/>
      <c r="G126" s="28"/>
      <c r="H126" s="30"/>
    </row>
    <row r="127" customFormat="false" ht="15" hidden="false" customHeight="true" outlineLevel="0" collapsed="false">
      <c r="A127" s="27"/>
      <c r="B127" s="30"/>
      <c r="C127" s="29"/>
      <c r="D127" s="20" t="n">
        <f aca="false">IFERROR(B127*C127,0)</f>
        <v>0</v>
      </c>
      <c r="E127" s="25" t="n">
        <f aca="false">IFERROR(IF(B127=0,0,D127/B127),0)</f>
        <v>0</v>
      </c>
      <c r="F127" s="28"/>
      <c r="G127" s="28"/>
      <c r="H127" s="30"/>
    </row>
    <row r="128" customFormat="false" ht="15" hidden="false" customHeight="true" outlineLevel="0" collapsed="false">
      <c r="A128" s="27"/>
      <c r="B128" s="30"/>
      <c r="C128" s="29"/>
      <c r="D128" s="20" t="n">
        <f aca="false">IFERROR(B128*C128,0)</f>
        <v>0</v>
      </c>
      <c r="E128" s="25" t="n">
        <f aca="false">IFERROR(IF(B128=0,0,D128/B128),0)</f>
        <v>0</v>
      </c>
      <c r="F128" s="28"/>
      <c r="G128" s="28"/>
      <c r="H128" s="30"/>
    </row>
    <row r="129" customFormat="false" ht="15" hidden="false" customHeight="true" outlineLevel="0" collapsed="false">
      <c r="A129" s="27"/>
      <c r="B129" s="30"/>
      <c r="C129" s="29"/>
      <c r="D129" s="20" t="n">
        <f aca="false">IFERROR(B129*C129,0)</f>
        <v>0</v>
      </c>
      <c r="E129" s="25" t="n">
        <f aca="false">IFERROR(IF(B129=0,0,D129/B129),0)</f>
        <v>0</v>
      </c>
      <c r="F129" s="28"/>
      <c r="G129" s="28"/>
      <c r="H129" s="30"/>
    </row>
    <row r="130" customFormat="false" ht="15" hidden="false" customHeight="true" outlineLevel="0" collapsed="false">
      <c r="A130" s="27"/>
      <c r="B130" s="30"/>
      <c r="C130" s="29"/>
      <c r="D130" s="20" t="n">
        <f aca="false">IFERROR(B130*C130,0)</f>
        <v>0</v>
      </c>
      <c r="E130" s="25" t="n">
        <f aca="false">IFERROR(IF(B130=0,0,D130/B130),0)</f>
        <v>0</v>
      </c>
      <c r="F130" s="28"/>
      <c r="G130" s="28"/>
      <c r="H130" s="30"/>
    </row>
    <row r="131" customFormat="false" ht="15" hidden="false" customHeight="true" outlineLevel="0" collapsed="false">
      <c r="A131" s="27"/>
      <c r="B131" s="30"/>
      <c r="C131" s="29"/>
      <c r="D131" s="20" t="n">
        <f aca="false">IFERROR(B131*C131,0)</f>
        <v>0</v>
      </c>
      <c r="E131" s="25" t="n">
        <f aca="false">IFERROR(IF(B131=0,0,D131/B131),0)</f>
        <v>0</v>
      </c>
      <c r="F131" s="28"/>
      <c r="G131" s="28"/>
      <c r="H131" s="30"/>
    </row>
    <row r="132" customFormat="false" ht="15" hidden="false" customHeight="true" outlineLevel="0" collapsed="false">
      <c r="A132" s="27"/>
      <c r="B132" s="30"/>
      <c r="C132" s="29"/>
      <c r="D132" s="20" t="n">
        <f aca="false">IFERROR(B132*C132,0)</f>
        <v>0</v>
      </c>
      <c r="E132" s="25" t="n">
        <f aca="false">IFERROR(IF(B132=0,0,D132/B132),0)</f>
        <v>0</v>
      </c>
      <c r="F132" s="28"/>
      <c r="G132" s="28"/>
      <c r="H132" s="30"/>
    </row>
    <row r="133" customFormat="false" ht="15" hidden="false" customHeight="true" outlineLevel="0" collapsed="false">
      <c r="A133" s="27"/>
      <c r="B133" s="30"/>
      <c r="C133" s="29"/>
      <c r="D133" s="20" t="n">
        <f aca="false">IFERROR(B133*C133,0)</f>
        <v>0</v>
      </c>
      <c r="E133" s="25" t="n">
        <f aca="false">IFERROR(IF(B133=0,0,D133/B133),0)</f>
        <v>0</v>
      </c>
      <c r="F133" s="28"/>
      <c r="G133" s="28"/>
      <c r="H133" s="30"/>
    </row>
    <row r="134" customFormat="false" ht="15" hidden="false" customHeight="true" outlineLevel="0" collapsed="false">
      <c r="A134" s="27"/>
      <c r="B134" s="30"/>
      <c r="C134" s="29"/>
      <c r="D134" s="20" t="n">
        <f aca="false">IFERROR(B134*C134,0)</f>
        <v>0</v>
      </c>
      <c r="E134" s="25" t="n">
        <f aca="false">IFERROR(IF(B134=0,0,D134/B134),0)</f>
        <v>0</v>
      </c>
      <c r="F134" s="28"/>
      <c r="G134" s="28"/>
      <c r="H134" s="30"/>
    </row>
    <row r="135" customFormat="false" ht="15" hidden="false" customHeight="true" outlineLevel="0" collapsed="false">
      <c r="A135" s="27"/>
      <c r="B135" s="30"/>
      <c r="C135" s="29"/>
      <c r="D135" s="20" t="n">
        <f aca="false">IFERROR(B135*C135,0)</f>
        <v>0</v>
      </c>
      <c r="E135" s="25" t="n">
        <f aca="false">IFERROR(IF(B135=0,0,D135/B135),0)</f>
        <v>0</v>
      </c>
      <c r="F135" s="28"/>
      <c r="G135" s="28"/>
      <c r="H135" s="30"/>
    </row>
    <row r="136" customFormat="false" ht="15" hidden="false" customHeight="true" outlineLevel="0" collapsed="false">
      <c r="A136" s="27"/>
      <c r="B136" s="30"/>
      <c r="C136" s="29"/>
      <c r="D136" s="20" t="n">
        <f aca="false">IFERROR(B136*C136,0)</f>
        <v>0</v>
      </c>
      <c r="E136" s="25" t="n">
        <f aca="false">IFERROR(IF(B136=0,0,D136/B136),0)</f>
        <v>0</v>
      </c>
      <c r="F136" s="28"/>
      <c r="G136" s="28"/>
      <c r="H136" s="30"/>
    </row>
    <row r="137" customFormat="false" ht="15" hidden="false" customHeight="true" outlineLevel="0" collapsed="false">
      <c r="A137" s="27"/>
      <c r="B137" s="30"/>
      <c r="C137" s="29"/>
      <c r="D137" s="20" t="n">
        <f aca="false">IFERROR(B137*C137,0)</f>
        <v>0</v>
      </c>
      <c r="E137" s="25" t="n">
        <f aca="false">IFERROR(IF(B137=0,0,D137/B137),0)</f>
        <v>0</v>
      </c>
      <c r="F137" s="28"/>
      <c r="G137" s="28"/>
      <c r="H137" s="30"/>
    </row>
    <row r="138" customFormat="false" ht="15" hidden="false" customHeight="true" outlineLevel="0" collapsed="false">
      <c r="A138" s="27"/>
      <c r="B138" s="30"/>
      <c r="C138" s="29"/>
      <c r="D138" s="20" t="n">
        <f aca="false">IFERROR(B138*C138,0)</f>
        <v>0</v>
      </c>
      <c r="E138" s="25" t="n">
        <f aca="false">IFERROR(IF(B138=0,0,D138/B138),0)</f>
        <v>0</v>
      </c>
      <c r="F138" s="28"/>
      <c r="G138" s="28"/>
      <c r="H138" s="30"/>
    </row>
    <row r="139" customFormat="false" ht="15" hidden="false" customHeight="true" outlineLevel="0" collapsed="false">
      <c r="A139" s="27"/>
      <c r="B139" s="30"/>
      <c r="C139" s="29"/>
      <c r="D139" s="20" t="n">
        <f aca="false">IFERROR(B139*C139,0)</f>
        <v>0</v>
      </c>
      <c r="E139" s="25" t="n">
        <f aca="false">IFERROR(IF(B139=0,0,D139/B139),0)</f>
        <v>0</v>
      </c>
      <c r="F139" s="28"/>
      <c r="G139" s="28"/>
      <c r="H139" s="30"/>
    </row>
    <row r="140" customFormat="false" ht="15" hidden="false" customHeight="true" outlineLevel="0" collapsed="false">
      <c r="A140" s="27"/>
      <c r="B140" s="30"/>
      <c r="C140" s="29"/>
      <c r="D140" s="20" t="n">
        <f aca="false">IFERROR(B140*C140,0)</f>
        <v>0</v>
      </c>
      <c r="E140" s="25" t="n">
        <f aca="false">IFERROR(IF(B140=0,0,D140/B140),0)</f>
        <v>0</v>
      </c>
      <c r="F140" s="28"/>
      <c r="G140" s="28"/>
      <c r="H140" s="30"/>
    </row>
    <row r="141" customFormat="false" ht="15" hidden="false" customHeight="true" outlineLevel="0" collapsed="false">
      <c r="A141" s="27"/>
      <c r="B141" s="30"/>
      <c r="C141" s="29"/>
      <c r="D141" s="20" t="n">
        <f aca="false">IFERROR(B141*C141,0)</f>
        <v>0</v>
      </c>
      <c r="E141" s="25" t="n">
        <f aca="false">IFERROR(IF(B141=0,0,D141/B141),0)</f>
        <v>0</v>
      </c>
      <c r="F141" s="28"/>
      <c r="G141" s="28"/>
      <c r="H141" s="30"/>
    </row>
    <row r="142" customFormat="false" ht="15" hidden="false" customHeight="true" outlineLevel="0" collapsed="false">
      <c r="A142" s="27"/>
      <c r="B142" s="30"/>
      <c r="C142" s="29"/>
      <c r="D142" s="20" t="n">
        <f aca="false">IFERROR(B142*C142,0)</f>
        <v>0</v>
      </c>
      <c r="E142" s="25" t="n">
        <f aca="false">IFERROR(IF(B142=0,0,D142/B142),0)</f>
        <v>0</v>
      </c>
      <c r="F142" s="28"/>
      <c r="G142" s="28"/>
      <c r="H142" s="30"/>
    </row>
    <row r="143" customFormat="false" ht="15" hidden="false" customHeight="true" outlineLevel="0" collapsed="false">
      <c r="A143" s="27"/>
      <c r="B143" s="30"/>
      <c r="C143" s="29"/>
      <c r="D143" s="20" t="n">
        <f aca="false">IFERROR(B143*C143,0)</f>
        <v>0</v>
      </c>
      <c r="E143" s="25" t="n">
        <f aca="false">IFERROR(IF(B143=0,0,D143/B143),0)</f>
        <v>0</v>
      </c>
      <c r="F143" s="28"/>
      <c r="G143" s="28"/>
      <c r="H143" s="30"/>
    </row>
    <row r="144" customFormat="false" ht="15" hidden="false" customHeight="true" outlineLevel="0" collapsed="false">
      <c r="A144" s="27"/>
      <c r="B144" s="30"/>
      <c r="C144" s="29"/>
      <c r="D144" s="20" t="n">
        <f aca="false">IFERROR(B144*C144,0)</f>
        <v>0</v>
      </c>
      <c r="E144" s="25" t="n">
        <f aca="false">IFERROR(IF(B144=0,0,D144/B144),0)</f>
        <v>0</v>
      </c>
      <c r="F144" s="28"/>
      <c r="G144" s="28"/>
      <c r="H144" s="30"/>
    </row>
    <row r="145" customFormat="false" ht="15" hidden="false" customHeight="true" outlineLevel="0" collapsed="false">
      <c r="A145" s="27"/>
      <c r="B145" s="30"/>
      <c r="C145" s="29"/>
      <c r="D145" s="20" t="n">
        <f aca="false">IFERROR(B145*C145,0)</f>
        <v>0</v>
      </c>
      <c r="E145" s="25" t="n">
        <f aca="false">IFERROR(IF(B145=0,0,D145/B145),0)</f>
        <v>0</v>
      </c>
      <c r="F145" s="28"/>
      <c r="G145" s="28"/>
      <c r="H145" s="30"/>
    </row>
    <row r="146" customFormat="false" ht="15" hidden="false" customHeight="true" outlineLevel="0" collapsed="false">
      <c r="A146" s="27"/>
      <c r="B146" s="30"/>
      <c r="C146" s="29"/>
      <c r="D146" s="20" t="n">
        <f aca="false">IFERROR(B146*C146,0)</f>
        <v>0</v>
      </c>
      <c r="E146" s="25" t="n">
        <f aca="false">IFERROR(IF(B146=0,0,D146/B146),0)</f>
        <v>0</v>
      </c>
      <c r="F146" s="28"/>
      <c r="G146" s="28"/>
      <c r="H146" s="30"/>
    </row>
    <row r="147" customFormat="false" ht="15" hidden="false" customHeight="true" outlineLevel="0" collapsed="false">
      <c r="A147" s="27"/>
      <c r="B147" s="30"/>
      <c r="C147" s="29"/>
      <c r="D147" s="20" t="n">
        <f aca="false">IFERROR(B147*C147,0)</f>
        <v>0</v>
      </c>
      <c r="E147" s="25" t="n">
        <f aca="false">IFERROR(IF(B147=0,0,D147/B147),0)</f>
        <v>0</v>
      </c>
      <c r="F147" s="28"/>
      <c r="G147" s="28"/>
      <c r="H147" s="30"/>
    </row>
    <row r="148" customFormat="false" ht="15" hidden="false" customHeight="true" outlineLevel="0" collapsed="false">
      <c r="A148" s="27"/>
      <c r="B148" s="30"/>
      <c r="C148" s="29"/>
      <c r="D148" s="20" t="n">
        <f aca="false">IFERROR(B148*C148,0)</f>
        <v>0</v>
      </c>
      <c r="E148" s="25" t="n">
        <f aca="false">IFERROR(IF(B148=0,0,D148/B148),0)</f>
        <v>0</v>
      </c>
      <c r="F148" s="28"/>
      <c r="G148" s="28"/>
      <c r="H148" s="30"/>
    </row>
    <row r="149" customFormat="false" ht="15" hidden="false" customHeight="true" outlineLevel="0" collapsed="false">
      <c r="A149" s="27"/>
      <c r="B149" s="30"/>
      <c r="C149" s="29"/>
      <c r="D149" s="20" t="n">
        <f aca="false">IFERROR(B149*C149,0)</f>
        <v>0</v>
      </c>
      <c r="E149" s="25" t="n">
        <f aca="false">IFERROR(IF(B149=0,0,D149/B149),0)</f>
        <v>0</v>
      </c>
      <c r="F149" s="28"/>
      <c r="G149" s="28"/>
      <c r="H149" s="30"/>
    </row>
    <row r="150" customFormat="false" ht="15" hidden="false" customHeight="true" outlineLevel="0" collapsed="false">
      <c r="A150" s="27"/>
      <c r="B150" s="30"/>
      <c r="C150" s="29"/>
      <c r="D150" s="20" t="n">
        <f aca="false">IFERROR(B150*C150,0)</f>
        <v>0</v>
      </c>
      <c r="E150" s="25" t="n">
        <f aca="false">IFERROR(IF(B150=0,0,D150/B150),0)</f>
        <v>0</v>
      </c>
      <c r="F150" s="28"/>
      <c r="G150" s="28"/>
      <c r="H150" s="30"/>
    </row>
    <row r="151" customFormat="false" ht="15" hidden="false" customHeight="true" outlineLevel="0" collapsed="false">
      <c r="A151" s="27"/>
      <c r="B151" s="30"/>
      <c r="C151" s="29"/>
      <c r="D151" s="20" t="n">
        <f aca="false">IFERROR(B151*C151,0)</f>
        <v>0</v>
      </c>
      <c r="E151" s="25" t="n">
        <f aca="false">IFERROR(IF(B151=0,0,D151/B151),0)</f>
        <v>0</v>
      </c>
      <c r="F151" s="28"/>
      <c r="G151" s="28"/>
      <c r="H151" s="30"/>
    </row>
    <row r="152" customFormat="false" ht="15" hidden="false" customHeight="true" outlineLevel="0" collapsed="false">
      <c r="A152" s="27"/>
      <c r="B152" s="30"/>
      <c r="C152" s="29"/>
      <c r="D152" s="20" t="n">
        <f aca="false">IFERROR(B152*C152,0)</f>
        <v>0</v>
      </c>
      <c r="E152" s="25" t="n">
        <f aca="false">IFERROR(IF(B152=0,0,D152/B152),0)</f>
        <v>0</v>
      </c>
      <c r="F152" s="28"/>
      <c r="G152" s="28"/>
      <c r="H152" s="30"/>
    </row>
    <row r="153" customFormat="false" ht="15" hidden="false" customHeight="true" outlineLevel="0" collapsed="false">
      <c r="A153" s="27"/>
      <c r="B153" s="30"/>
      <c r="C153" s="29"/>
      <c r="D153" s="20" t="n">
        <f aca="false">IFERROR(B153*C153,0)</f>
        <v>0</v>
      </c>
      <c r="E153" s="25" t="n">
        <f aca="false">IFERROR(IF(B153=0,0,D153/B153),0)</f>
        <v>0</v>
      </c>
      <c r="F153" s="28"/>
      <c r="G153" s="28"/>
      <c r="H153" s="30"/>
    </row>
    <row r="154" customFormat="false" ht="15" hidden="false" customHeight="true" outlineLevel="0" collapsed="false">
      <c r="A154" s="27"/>
      <c r="B154" s="30"/>
      <c r="C154" s="29"/>
      <c r="D154" s="20" t="n">
        <f aca="false">IFERROR(B154*C154,0)</f>
        <v>0</v>
      </c>
      <c r="E154" s="25" t="n">
        <f aca="false">IFERROR(IF(B154=0,0,D154/B154),0)</f>
        <v>0</v>
      </c>
      <c r="F154" s="28"/>
      <c r="G154" s="28"/>
      <c r="H154" s="30"/>
    </row>
    <row r="155" customFormat="false" ht="15" hidden="false" customHeight="true" outlineLevel="0" collapsed="false">
      <c r="A155" s="27"/>
      <c r="B155" s="30"/>
      <c r="C155" s="29"/>
      <c r="D155" s="20" t="n">
        <f aca="false">IFERROR(B155*C155,0)</f>
        <v>0</v>
      </c>
      <c r="E155" s="25" t="n">
        <f aca="false">IFERROR(IF(B155=0,0,D155/B155),0)</f>
        <v>0</v>
      </c>
      <c r="F155" s="28"/>
      <c r="G155" s="28"/>
      <c r="H155" s="30"/>
    </row>
    <row r="156" customFormat="false" ht="15" hidden="false" customHeight="true" outlineLevel="0" collapsed="false">
      <c r="A156" s="27"/>
      <c r="B156" s="30"/>
      <c r="C156" s="29"/>
      <c r="D156" s="20" t="n">
        <f aca="false">IFERROR(B156*C156,0)</f>
        <v>0</v>
      </c>
      <c r="E156" s="25" t="n">
        <f aca="false">IFERROR(IF(B156=0,0,D156/B156),0)</f>
        <v>0</v>
      </c>
      <c r="F156" s="28"/>
      <c r="G156" s="28"/>
      <c r="H156" s="30"/>
    </row>
    <row r="157" customFormat="false" ht="15" hidden="false" customHeight="true" outlineLevel="0" collapsed="false">
      <c r="A157" s="27"/>
      <c r="B157" s="30"/>
      <c r="C157" s="29"/>
      <c r="D157" s="20" t="n">
        <f aca="false">IFERROR(B157*C157,0)</f>
        <v>0</v>
      </c>
      <c r="E157" s="25" t="n">
        <f aca="false">IFERROR(IF(B157=0,0,D157/B157),0)</f>
        <v>0</v>
      </c>
      <c r="F157" s="28"/>
      <c r="G157" s="28"/>
      <c r="H157" s="30"/>
    </row>
    <row r="158" customFormat="false" ht="15" hidden="false" customHeight="true" outlineLevel="0" collapsed="false">
      <c r="A158" s="27"/>
      <c r="B158" s="30"/>
      <c r="C158" s="29"/>
      <c r="D158" s="20" t="n">
        <f aca="false">IFERROR(B158*C158,0)</f>
        <v>0</v>
      </c>
      <c r="E158" s="25" t="n">
        <f aca="false">IFERROR(IF(B158=0,0,D158/B158),0)</f>
        <v>0</v>
      </c>
      <c r="F158" s="28"/>
      <c r="G158" s="28"/>
      <c r="H158" s="30"/>
    </row>
    <row r="159" customFormat="false" ht="15" hidden="false" customHeight="true" outlineLevel="0" collapsed="false">
      <c r="A159" s="27"/>
      <c r="B159" s="30"/>
      <c r="C159" s="29"/>
      <c r="D159" s="20" t="n">
        <f aca="false">IFERROR(B159*C159,0)</f>
        <v>0</v>
      </c>
      <c r="E159" s="25" t="n">
        <f aca="false">IFERROR(IF(B159=0,0,D159/B159),0)</f>
        <v>0</v>
      </c>
      <c r="F159" s="28"/>
      <c r="G159" s="28"/>
      <c r="H159" s="30"/>
    </row>
    <row r="160" customFormat="false" ht="15" hidden="false" customHeight="true" outlineLevel="0" collapsed="false">
      <c r="A160" s="27"/>
      <c r="B160" s="30"/>
      <c r="C160" s="29"/>
      <c r="D160" s="20" t="n">
        <f aca="false">IFERROR(B160*C160,0)</f>
        <v>0</v>
      </c>
      <c r="E160" s="25" t="n">
        <f aca="false">IFERROR(IF(B160=0,0,D160/B160),0)</f>
        <v>0</v>
      </c>
      <c r="F160" s="28"/>
      <c r="G160" s="28"/>
      <c r="H160" s="30"/>
    </row>
    <row r="161" customFormat="false" ht="15" hidden="false" customHeight="true" outlineLevel="0" collapsed="false">
      <c r="A161" s="27"/>
      <c r="B161" s="30"/>
      <c r="C161" s="29"/>
      <c r="D161" s="20" t="n">
        <f aca="false">IFERROR(B161*C161,0)</f>
        <v>0</v>
      </c>
      <c r="E161" s="25" t="n">
        <f aca="false">IFERROR(IF(B161=0,0,D161/B161),0)</f>
        <v>0</v>
      </c>
      <c r="F161" s="28"/>
      <c r="G161" s="28"/>
      <c r="H161" s="30"/>
    </row>
    <row r="162" customFormat="false" ht="15" hidden="false" customHeight="true" outlineLevel="0" collapsed="false">
      <c r="A162" s="27"/>
      <c r="B162" s="30"/>
      <c r="C162" s="29"/>
      <c r="D162" s="20" t="n">
        <f aca="false">IFERROR(B162*C162,0)</f>
        <v>0</v>
      </c>
      <c r="E162" s="25" t="n">
        <f aca="false">IFERROR(IF(B162=0,0,D162/B162),0)</f>
        <v>0</v>
      </c>
      <c r="F162" s="28"/>
      <c r="G162" s="28"/>
      <c r="H162" s="30"/>
    </row>
    <row r="163" customFormat="false" ht="15" hidden="false" customHeight="true" outlineLevel="0" collapsed="false">
      <c r="A163" s="27"/>
      <c r="B163" s="30"/>
      <c r="C163" s="29"/>
      <c r="D163" s="20" t="n">
        <f aca="false">IFERROR(B163*C163,0)</f>
        <v>0</v>
      </c>
      <c r="E163" s="25" t="n">
        <f aca="false">IFERROR(IF(B163=0,0,D163/B163),0)</f>
        <v>0</v>
      </c>
      <c r="F163" s="28"/>
      <c r="G163" s="28"/>
      <c r="H163" s="30"/>
    </row>
    <row r="164" customFormat="false" ht="15" hidden="false" customHeight="true" outlineLevel="0" collapsed="false">
      <c r="A164" s="27"/>
      <c r="B164" s="30"/>
      <c r="C164" s="29"/>
      <c r="D164" s="20" t="n">
        <f aca="false">IFERROR(B164*C164,0)</f>
        <v>0</v>
      </c>
      <c r="E164" s="25" t="n">
        <f aca="false">IFERROR(IF(B164=0,0,D164/B164),0)</f>
        <v>0</v>
      </c>
      <c r="F164" s="28"/>
      <c r="G164" s="28"/>
      <c r="H164" s="30"/>
    </row>
    <row r="165" customFormat="false" ht="15" hidden="false" customHeight="true" outlineLevel="0" collapsed="false">
      <c r="A165" s="27"/>
      <c r="B165" s="30"/>
      <c r="C165" s="29"/>
      <c r="D165" s="20" t="n">
        <f aca="false">IFERROR(B165*C165,0)</f>
        <v>0</v>
      </c>
      <c r="E165" s="25" t="n">
        <f aca="false">IFERROR(IF(B165=0,0,D165/B165),0)</f>
        <v>0</v>
      </c>
      <c r="F165" s="28"/>
      <c r="G165" s="28"/>
      <c r="H165" s="30"/>
    </row>
    <row r="166" customFormat="false" ht="15" hidden="false" customHeight="true" outlineLevel="0" collapsed="false">
      <c r="A166" s="27"/>
      <c r="B166" s="30"/>
      <c r="C166" s="29"/>
      <c r="D166" s="20" t="n">
        <f aca="false">IFERROR(B166*C166,0)</f>
        <v>0</v>
      </c>
      <c r="E166" s="25" t="n">
        <f aca="false">IFERROR(IF(B166=0,0,D166/B166),0)</f>
        <v>0</v>
      </c>
      <c r="F166" s="28"/>
      <c r="G166" s="28"/>
      <c r="H166" s="30"/>
    </row>
    <row r="167" customFormat="false" ht="15" hidden="false" customHeight="true" outlineLevel="0" collapsed="false">
      <c r="A167" s="27"/>
      <c r="B167" s="30"/>
      <c r="C167" s="29"/>
      <c r="D167" s="20" t="n">
        <f aca="false">IFERROR(B167*C167,0)</f>
        <v>0</v>
      </c>
      <c r="E167" s="25" t="n">
        <f aca="false">IFERROR(IF(B167=0,0,D167/B167),0)</f>
        <v>0</v>
      </c>
      <c r="F167" s="28"/>
      <c r="G167" s="28"/>
      <c r="H167" s="30"/>
    </row>
    <row r="168" customFormat="false" ht="15" hidden="false" customHeight="true" outlineLevel="0" collapsed="false">
      <c r="A168" s="27"/>
      <c r="B168" s="30"/>
      <c r="C168" s="29"/>
      <c r="D168" s="20" t="n">
        <f aca="false">IFERROR(B168*C168,0)</f>
        <v>0</v>
      </c>
      <c r="E168" s="25" t="n">
        <f aca="false">IFERROR(IF(B168=0,0,D168/B168),0)</f>
        <v>0</v>
      </c>
      <c r="F168" s="28"/>
      <c r="G168" s="28"/>
      <c r="H168" s="30"/>
    </row>
    <row r="169" customFormat="false" ht="15" hidden="false" customHeight="true" outlineLevel="0" collapsed="false">
      <c r="A169" s="27"/>
      <c r="B169" s="30"/>
      <c r="C169" s="29"/>
      <c r="D169" s="20" t="n">
        <f aca="false">IFERROR(B169*C169,0)</f>
        <v>0</v>
      </c>
      <c r="E169" s="25" t="n">
        <f aca="false">IFERROR(IF(B169=0,0,D169/B169),0)</f>
        <v>0</v>
      </c>
      <c r="F169" s="28"/>
      <c r="G169" s="28"/>
      <c r="H169" s="30"/>
    </row>
    <row r="170" customFormat="false" ht="15" hidden="false" customHeight="true" outlineLevel="0" collapsed="false">
      <c r="A170" s="27"/>
      <c r="B170" s="30"/>
      <c r="C170" s="29"/>
      <c r="D170" s="20" t="n">
        <f aca="false">IFERROR(B170*C170,0)</f>
        <v>0</v>
      </c>
      <c r="E170" s="25" t="n">
        <f aca="false">IFERROR(IF(B170=0,0,D170/B170),0)</f>
        <v>0</v>
      </c>
      <c r="F170" s="28"/>
      <c r="G170" s="28"/>
      <c r="H170" s="30"/>
    </row>
    <row r="171" customFormat="false" ht="15" hidden="false" customHeight="true" outlineLevel="0" collapsed="false">
      <c r="A171" s="27"/>
      <c r="B171" s="30"/>
      <c r="C171" s="29"/>
      <c r="D171" s="20" t="n">
        <f aca="false">IFERROR(B171*C171,0)</f>
        <v>0</v>
      </c>
      <c r="E171" s="25" t="n">
        <f aca="false">IFERROR(IF(B171=0,0,D171/B171),0)</f>
        <v>0</v>
      </c>
      <c r="F171" s="28"/>
      <c r="G171" s="28"/>
      <c r="H171" s="30"/>
    </row>
    <row r="172" customFormat="false" ht="15" hidden="false" customHeight="true" outlineLevel="0" collapsed="false">
      <c r="A172" s="27"/>
      <c r="B172" s="30"/>
      <c r="C172" s="29"/>
      <c r="D172" s="20" t="n">
        <f aca="false">IFERROR(B172*C172,0)</f>
        <v>0</v>
      </c>
      <c r="E172" s="25" t="n">
        <f aca="false">IFERROR(IF(B172=0,0,D172/B172),0)</f>
        <v>0</v>
      </c>
      <c r="F172" s="28"/>
      <c r="G172" s="28"/>
      <c r="H172" s="30"/>
    </row>
    <row r="173" customFormat="false" ht="15" hidden="false" customHeight="true" outlineLevel="0" collapsed="false">
      <c r="A173" s="27"/>
      <c r="B173" s="30"/>
      <c r="C173" s="29"/>
      <c r="D173" s="20" t="n">
        <f aca="false">IFERROR(B173*C173,0)</f>
        <v>0</v>
      </c>
      <c r="E173" s="25" t="n">
        <f aca="false">IFERROR(IF(B173=0,0,D173/B173),0)</f>
        <v>0</v>
      </c>
      <c r="F173" s="28"/>
      <c r="G173" s="28"/>
      <c r="H173" s="30"/>
    </row>
    <row r="174" customFormat="false" ht="15" hidden="false" customHeight="true" outlineLevel="0" collapsed="false">
      <c r="A174" s="27"/>
      <c r="B174" s="30"/>
      <c r="C174" s="29"/>
      <c r="D174" s="20" t="n">
        <f aca="false">IFERROR(B174*C174,0)</f>
        <v>0</v>
      </c>
      <c r="E174" s="25" t="n">
        <f aca="false">IFERROR(IF(B174=0,0,D174/B174),0)</f>
        <v>0</v>
      </c>
      <c r="F174" s="28"/>
      <c r="G174" s="28"/>
      <c r="H174" s="30"/>
    </row>
    <row r="175" customFormat="false" ht="15" hidden="false" customHeight="true" outlineLevel="0" collapsed="false">
      <c r="A175" s="27"/>
      <c r="B175" s="30"/>
      <c r="C175" s="29"/>
      <c r="D175" s="20" t="n">
        <f aca="false">IFERROR(B175*C175,0)</f>
        <v>0</v>
      </c>
      <c r="E175" s="25" t="n">
        <f aca="false">IFERROR(IF(B175=0,0,D175/B175),0)</f>
        <v>0</v>
      </c>
      <c r="F175" s="28"/>
      <c r="G175" s="28"/>
      <c r="H175" s="30"/>
    </row>
    <row r="176" customFormat="false" ht="15" hidden="false" customHeight="true" outlineLevel="0" collapsed="false">
      <c r="A176" s="27"/>
      <c r="B176" s="30"/>
      <c r="C176" s="29"/>
      <c r="D176" s="20" t="n">
        <f aca="false">IFERROR(B176*C176,0)</f>
        <v>0</v>
      </c>
      <c r="E176" s="25" t="n">
        <f aca="false">IFERROR(IF(B176=0,0,D176/B176),0)</f>
        <v>0</v>
      </c>
      <c r="F176" s="28"/>
      <c r="G176" s="28"/>
      <c r="H176" s="30"/>
    </row>
    <row r="177" customFormat="false" ht="15" hidden="false" customHeight="true" outlineLevel="0" collapsed="false">
      <c r="A177" s="27"/>
      <c r="B177" s="30"/>
      <c r="C177" s="29"/>
      <c r="D177" s="20" t="n">
        <f aca="false">IFERROR(B177*C177,0)</f>
        <v>0</v>
      </c>
      <c r="E177" s="25" t="n">
        <f aca="false">IFERROR(IF(B177=0,0,D177/B177),0)</f>
        <v>0</v>
      </c>
      <c r="F177" s="28"/>
      <c r="G177" s="28"/>
      <c r="H177" s="30"/>
    </row>
    <row r="178" customFormat="false" ht="15" hidden="false" customHeight="true" outlineLevel="0" collapsed="false">
      <c r="A178" s="27"/>
      <c r="B178" s="30"/>
      <c r="C178" s="29"/>
      <c r="D178" s="20" t="n">
        <f aca="false">IFERROR(B178*C178,0)</f>
        <v>0</v>
      </c>
      <c r="E178" s="25" t="n">
        <f aca="false">IFERROR(IF(B178=0,0,D178/B178),0)</f>
        <v>0</v>
      </c>
      <c r="F178" s="28"/>
      <c r="G178" s="28"/>
      <c r="H178" s="30"/>
    </row>
    <row r="179" customFormat="false" ht="15" hidden="false" customHeight="true" outlineLevel="0" collapsed="false">
      <c r="A179" s="27"/>
      <c r="B179" s="30"/>
      <c r="C179" s="29"/>
      <c r="D179" s="20" t="n">
        <f aca="false">IFERROR(B179*C179,0)</f>
        <v>0</v>
      </c>
      <c r="E179" s="25" t="n">
        <f aca="false">IFERROR(IF(B179=0,0,D179/B179),0)</f>
        <v>0</v>
      </c>
      <c r="F179" s="28"/>
      <c r="G179" s="28"/>
      <c r="H179" s="30"/>
    </row>
    <row r="180" customFormat="false" ht="15" hidden="false" customHeight="true" outlineLevel="0" collapsed="false">
      <c r="A180" s="27"/>
      <c r="B180" s="30"/>
      <c r="C180" s="29"/>
      <c r="D180" s="20" t="n">
        <f aca="false">IFERROR(B180*C180,0)</f>
        <v>0</v>
      </c>
      <c r="E180" s="25" t="n">
        <f aca="false">IFERROR(IF(B180=0,0,D180/B180),0)</f>
        <v>0</v>
      </c>
      <c r="F180" s="28"/>
      <c r="G180" s="28"/>
      <c r="H180" s="30"/>
    </row>
    <row r="181" customFormat="false" ht="15" hidden="false" customHeight="true" outlineLevel="0" collapsed="false">
      <c r="A181" s="27"/>
      <c r="B181" s="30"/>
      <c r="C181" s="29"/>
      <c r="D181" s="20" t="n">
        <f aca="false">IFERROR(B181*C181,0)</f>
        <v>0</v>
      </c>
      <c r="E181" s="25" t="n">
        <f aca="false">IFERROR(IF(B181=0,0,D181/B181),0)</f>
        <v>0</v>
      </c>
      <c r="F181" s="28"/>
      <c r="G181" s="28"/>
      <c r="H181" s="30"/>
    </row>
    <row r="182" customFormat="false" ht="15" hidden="false" customHeight="true" outlineLevel="0" collapsed="false">
      <c r="A182" s="27"/>
      <c r="B182" s="30"/>
      <c r="C182" s="29"/>
      <c r="D182" s="20" t="n">
        <f aca="false">IFERROR(B182*C182,0)</f>
        <v>0</v>
      </c>
      <c r="E182" s="25" t="n">
        <f aca="false">IFERROR(IF(B182=0,0,D182/B182),0)</f>
        <v>0</v>
      </c>
      <c r="F182" s="28"/>
      <c r="G182" s="28"/>
      <c r="H182" s="30"/>
    </row>
    <row r="183" customFormat="false" ht="15" hidden="false" customHeight="true" outlineLevel="0" collapsed="false">
      <c r="A183" s="27"/>
      <c r="B183" s="30"/>
      <c r="C183" s="29"/>
      <c r="D183" s="20" t="n">
        <f aca="false">IFERROR(B183*C183,0)</f>
        <v>0</v>
      </c>
      <c r="E183" s="25" t="n">
        <f aca="false">IFERROR(IF(B183=0,0,D183/B183),0)</f>
        <v>0</v>
      </c>
      <c r="F183" s="28"/>
      <c r="G183" s="28"/>
      <c r="H183" s="30"/>
    </row>
    <row r="184" customFormat="false" ht="15" hidden="false" customHeight="true" outlineLevel="0" collapsed="false">
      <c r="A184" s="27"/>
      <c r="B184" s="30"/>
      <c r="C184" s="29"/>
      <c r="D184" s="20" t="n">
        <f aca="false">IFERROR(B184*C184,0)</f>
        <v>0</v>
      </c>
      <c r="E184" s="25" t="n">
        <f aca="false">IFERROR(IF(B184=0,0,D184/B184),0)</f>
        <v>0</v>
      </c>
      <c r="F184" s="28"/>
      <c r="G184" s="28"/>
      <c r="H184" s="30"/>
    </row>
    <row r="185" customFormat="false" ht="15" hidden="false" customHeight="true" outlineLevel="0" collapsed="false">
      <c r="A185" s="27"/>
      <c r="B185" s="30"/>
      <c r="C185" s="29"/>
      <c r="D185" s="20" t="n">
        <f aca="false">IFERROR(B185*C185,0)</f>
        <v>0</v>
      </c>
      <c r="E185" s="25" t="n">
        <f aca="false">IFERROR(IF(B185=0,0,D185/B185),0)</f>
        <v>0</v>
      </c>
      <c r="F185" s="28"/>
      <c r="G185" s="28"/>
      <c r="H185" s="30"/>
    </row>
    <row r="186" customFormat="false" ht="15" hidden="false" customHeight="true" outlineLevel="0" collapsed="false">
      <c r="A186" s="27"/>
      <c r="B186" s="30"/>
      <c r="C186" s="29"/>
      <c r="D186" s="20" t="n">
        <f aca="false">IFERROR(B186*C186,0)</f>
        <v>0</v>
      </c>
      <c r="E186" s="25" t="n">
        <f aca="false">IFERROR(IF(B186=0,0,D186/B186),0)</f>
        <v>0</v>
      </c>
      <c r="F186" s="28"/>
      <c r="G186" s="28"/>
      <c r="H186" s="30"/>
    </row>
    <row r="187" customFormat="false" ht="15" hidden="false" customHeight="true" outlineLevel="0" collapsed="false">
      <c r="A187" s="27"/>
      <c r="B187" s="30"/>
      <c r="C187" s="29"/>
      <c r="D187" s="20" t="n">
        <f aca="false">IFERROR(B187*C187,0)</f>
        <v>0</v>
      </c>
      <c r="E187" s="25" t="n">
        <f aca="false">IFERROR(IF(B187=0,0,D187/B187),0)</f>
        <v>0</v>
      </c>
      <c r="F187" s="28"/>
      <c r="G187" s="28"/>
      <c r="H187" s="30"/>
    </row>
    <row r="188" customFormat="false" ht="15" hidden="false" customHeight="true" outlineLevel="0" collapsed="false">
      <c r="A188" s="27"/>
      <c r="B188" s="30"/>
      <c r="C188" s="29"/>
      <c r="D188" s="20" t="n">
        <f aca="false">IFERROR(B188*C188,0)</f>
        <v>0</v>
      </c>
      <c r="E188" s="25" t="n">
        <f aca="false">IFERROR(IF(B188=0,0,D188/B188),0)</f>
        <v>0</v>
      </c>
      <c r="F188" s="28"/>
      <c r="G188" s="28"/>
      <c r="H188" s="30"/>
    </row>
    <row r="189" customFormat="false" ht="15" hidden="false" customHeight="true" outlineLevel="0" collapsed="false">
      <c r="A189" s="27"/>
      <c r="B189" s="30"/>
      <c r="C189" s="29"/>
      <c r="D189" s="20" t="n">
        <f aca="false">IFERROR(B189*C189,0)</f>
        <v>0</v>
      </c>
      <c r="E189" s="25" t="n">
        <f aca="false">IFERROR(IF(B189=0,0,D189/B189),0)</f>
        <v>0</v>
      </c>
      <c r="F189" s="28"/>
      <c r="G189" s="28"/>
      <c r="H189" s="30"/>
    </row>
    <row r="190" customFormat="false" ht="15" hidden="false" customHeight="true" outlineLevel="0" collapsed="false">
      <c r="A190" s="27"/>
      <c r="B190" s="30"/>
      <c r="C190" s="29"/>
      <c r="D190" s="20" t="n">
        <f aca="false">IFERROR(B190*C190,0)</f>
        <v>0</v>
      </c>
      <c r="E190" s="25" t="n">
        <f aca="false">IFERROR(IF(B190=0,0,D190/B190),0)</f>
        <v>0</v>
      </c>
      <c r="F190" s="28"/>
      <c r="G190" s="28"/>
      <c r="H190" s="30"/>
    </row>
    <row r="191" customFormat="false" ht="15" hidden="false" customHeight="true" outlineLevel="0" collapsed="false">
      <c r="A191" s="27"/>
      <c r="B191" s="30"/>
      <c r="C191" s="29"/>
      <c r="D191" s="20" t="n">
        <f aca="false">IFERROR(B191*C191,0)</f>
        <v>0</v>
      </c>
      <c r="E191" s="25" t="n">
        <f aca="false">IFERROR(IF(B191=0,0,D191/B191),0)</f>
        <v>0</v>
      </c>
      <c r="F191" s="28"/>
      <c r="G191" s="28"/>
      <c r="H191" s="30"/>
    </row>
    <row r="192" customFormat="false" ht="15" hidden="false" customHeight="true" outlineLevel="0" collapsed="false">
      <c r="A192" s="27"/>
      <c r="B192" s="30"/>
      <c r="C192" s="29"/>
      <c r="D192" s="20" t="n">
        <f aca="false">IFERROR(B192*C192,0)</f>
        <v>0</v>
      </c>
      <c r="E192" s="25" t="n">
        <f aca="false">IFERROR(IF(B192=0,0,D192/B192),0)</f>
        <v>0</v>
      </c>
      <c r="F192" s="28"/>
      <c r="G192" s="28"/>
      <c r="H192" s="30"/>
    </row>
    <row r="193" customFormat="false" ht="15" hidden="false" customHeight="true" outlineLevel="0" collapsed="false">
      <c r="A193" s="27"/>
      <c r="B193" s="30"/>
      <c r="C193" s="29"/>
      <c r="D193" s="20" t="n">
        <f aca="false">IFERROR(B193*C193,0)</f>
        <v>0</v>
      </c>
      <c r="E193" s="25" t="n">
        <f aca="false">IFERROR(IF(B193=0,0,D193/B193),0)</f>
        <v>0</v>
      </c>
      <c r="F193" s="28"/>
      <c r="G193" s="28"/>
      <c r="H193" s="30"/>
    </row>
    <row r="194" customFormat="false" ht="15" hidden="false" customHeight="true" outlineLevel="0" collapsed="false">
      <c r="A194" s="27"/>
      <c r="B194" s="30"/>
      <c r="C194" s="29"/>
      <c r="D194" s="20" t="n">
        <f aca="false">IFERROR(B194*C194,0)</f>
        <v>0</v>
      </c>
      <c r="E194" s="25" t="n">
        <f aca="false">IFERROR(IF(B194=0,0,D194/B194),0)</f>
        <v>0</v>
      </c>
      <c r="F194" s="28"/>
      <c r="G194" s="28"/>
      <c r="H194" s="30"/>
    </row>
    <row r="195" customFormat="false" ht="15" hidden="false" customHeight="true" outlineLevel="0" collapsed="false">
      <c r="A195" s="27"/>
      <c r="B195" s="30"/>
      <c r="C195" s="29"/>
      <c r="D195" s="20" t="n">
        <f aca="false">IFERROR(B195*C195,0)</f>
        <v>0</v>
      </c>
      <c r="E195" s="25" t="n">
        <f aca="false">IFERROR(IF(B195=0,0,D195/B195),0)</f>
        <v>0</v>
      </c>
      <c r="F195" s="28"/>
      <c r="G195" s="28"/>
      <c r="H195" s="30"/>
    </row>
    <row r="196" customFormat="false" ht="15" hidden="false" customHeight="true" outlineLevel="0" collapsed="false">
      <c r="A196" s="27"/>
      <c r="B196" s="30"/>
      <c r="C196" s="29"/>
      <c r="D196" s="20" t="n">
        <f aca="false">IFERROR(B196*C196,0)</f>
        <v>0</v>
      </c>
      <c r="E196" s="25" t="n">
        <f aca="false">IFERROR(IF(B196=0,0,D196/B196),0)</f>
        <v>0</v>
      </c>
      <c r="F196" s="28"/>
      <c r="G196" s="28"/>
      <c r="H196" s="30"/>
    </row>
    <row r="197" customFormat="false" ht="15" hidden="false" customHeight="true" outlineLevel="0" collapsed="false">
      <c r="A197" s="27"/>
      <c r="B197" s="30"/>
      <c r="C197" s="29"/>
      <c r="D197" s="20" t="n">
        <f aca="false">IFERROR(B197*C197,0)</f>
        <v>0</v>
      </c>
      <c r="E197" s="25" t="n">
        <f aca="false">IFERROR(IF(B197=0,0,D197/B197),0)</f>
        <v>0</v>
      </c>
      <c r="F197" s="28"/>
      <c r="G197" s="28"/>
      <c r="H197" s="30"/>
    </row>
    <row r="198" customFormat="false" ht="15" hidden="false" customHeight="true" outlineLevel="0" collapsed="false">
      <c r="A198" s="27"/>
      <c r="B198" s="30"/>
      <c r="C198" s="29"/>
      <c r="D198" s="20" t="n">
        <f aca="false">IFERROR(B198*C198,0)</f>
        <v>0</v>
      </c>
      <c r="E198" s="25" t="n">
        <f aca="false">IFERROR(IF(B198=0,0,D198/B198),0)</f>
        <v>0</v>
      </c>
      <c r="F198" s="28"/>
      <c r="G198" s="28"/>
      <c r="H198" s="30"/>
    </row>
    <row r="199" customFormat="false" ht="15" hidden="false" customHeight="true" outlineLevel="0" collapsed="false">
      <c r="A199" s="27"/>
      <c r="B199" s="30"/>
      <c r="C199" s="29"/>
      <c r="D199" s="20" t="n">
        <f aca="false">IFERROR(B199*C199,0)</f>
        <v>0</v>
      </c>
      <c r="E199" s="25" t="n">
        <f aca="false">IFERROR(IF(B199=0,0,D199/B199),0)</f>
        <v>0</v>
      </c>
      <c r="F199" s="28"/>
      <c r="G199" s="28"/>
      <c r="H199" s="30"/>
    </row>
    <row r="200" customFormat="false" ht="15" hidden="false" customHeight="true" outlineLevel="0" collapsed="false">
      <c r="A200" s="27"/>
      <c r="B200" s="30"/>
      <c r="C200" s="29"/>
      <c r="D200" s="20" t="n">
        <f aca="false">IFERROR(B200*C200,0)</f>
        <v>0</v>
      </c>
      <c r="E200" s="25" t="n">
        <f aca="false">IFERROR(IF(B200=0,0,D200/B200),0)</f>
        <v>0</v>
      </c>
      <c r="F200" s="28"/>
      <c r="G200" s="28"/>
      <c r="H200" s="30"/>
    </row>
    <row r="201" customFormat="false" ht="15" hidden="false" customHeight="true" outlineLevel="0" collapsed="false">
      <c r="A201" s="27"/>
      <c r="B201" s="30"/>
      <c r="C201" s="29"/>
      <c r="D201" s="20" t="n">
        <f aca="false">IFERROR(B201*C201,0)</f>
        <v>0</v>
      </c>
      <c r="E201" s="25" t="n">
        <f aca="false">IFERROR(IF(B201=0,0,D201/B201),0)</f>
        <v>0</v>
      </c>
      <c r="F201" s="28"/>
      <c r="G201" s="28"/>
      <c r="H201" s="30"/>
    </row>
    <row r="202" customFormat="false" ht="15" hidden="false" customHeight="true" outlineLevel="0" collapsed="false">
      <c r="A202" s="27"/>
      <c r="B202" s="30"/>
      <c r="C202" s="29"/>
      <c r="D202" s="20" t="n">
        <f aca="false">IFERROR(B202*C202,0)</f>
        <v>0</v>
      </c>
      <c r="E202" s="25" t="n">
        <f aca="false">IFERROR(IF(B202=0,0,D202/B202),0)</f>
        <v>0</v>
      </c>
      <c r="F202" s="28"/>
      <c r="G202" s="28"/>
      <c r="H202" s="30"/>
    </row>
    <row r="203" customFormat="false" ht="15" hidden="false" customHeight="true" outlineLevel="0" collapsed="false">
      <c r="A203" s="27"/>
      <c r="B203" s="30"/>
      <c r="C203" s="29"/>
      <c r="D203" s="20" t="n">
        <f aca="false">IFERROR(B203*C203,0)</f>
        <v>0</v>
      </c>
      <c r="E203" s="25" t="n">
        <f aca="false">IFERROR(IF(B203=0,0,D203/B203),0)</f>
        <v>0</v>
      </c>
      <c r="F203" s="28"/>
      <c r="G203" s="28"/>
      <c r="H203" s="30"/>
    </row>
    <row r="205" customFormat="false" ht="15" hidden="false" customHeight="true" outlineLevel="0" collapsed="false">
      <c r="A205" s="7" t="s">
        <v>98</v>
      </c>
      <c r="B205" s="31" t="n">
        <f aca="false">SUM(B4:B203)</f>
        <v>150</v>
      </c>
      <c r="D205" s="32" t="n">
        <f aca="false">SUM(D4:D203)</f>
        <v>5105</v>
      </c>
      <c r="E205" s="31" t="n">
        <f aca="false">IFERROR(D205/B205,0)</f>
        <v>34.0333333333333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14"/>
  </cols>
  <sheetData>
    <row r="1" customFormat="false" ht="25.5" hidden="false" customHeight="true" outlineLevel="0" collapsed="false">
      <c r="A1" s="6" t="s">
        <v>101</v>
      </c>
      <c r="B1" s="6"/>
      <c r="C1" s="6"/>
      <c r="D1" s="6"/>
      <c r="E1" s="6"/>
      <c r="F1" s="6"/>
      <c r="G1" s="6"/>
      <c r="H1" s="6"/>
    </row>
    <row r="3" customFormat="false" ht="30" hidden="false" customHeight="true" outlineLevel="0" collapsed="false">
      <c r="A3" s="16" t="s">
        <v>51</v>
      </c>
      <c r="B3" s="16" t="s">
        <v>102</v>
      </c>
      <c r="C3" s="16" t="s">
        <v>54</v>
      </c>
      <c r="D3" s="16" t="s">
        <v>37</v>
      </c>
      <c r="E3" s="16" t="s">
        <v>91</v>
      </c>
      <c r="F3" s="16" t="s">
        <v>92</v>
      </c>
      <c r="G3" s="16" t="s">
        <v>57</v>
      </c>
      <c r="H3" s="16" t="s">
        <v>93</v>
      </c>
    </row>
    <row r="4" customFormat="false" ht="15" hidden="false" customHeight="true" outlineLevel="0" collapsed="false">
      <c r="A4" s="27"/>
      <c r="B4" s="30"/>
      <c r="C4" s="29"/>
      <c r="D4" s="20" t="n">
        <f aca="false">IFERROR(B4*C4,0)</f>
        <v>0</v>
      </c>
      <c r="E4" s="25" t="n">
        <f aca="false">IFERROR(IF(B4=0,0,D4/B4),0)</f>
        <v>0</v>
      </c>
      <c r="F4" s="28"/>
      <c r="G4" s="28"/>
      <c r="H4" s="30"/>
    </row>
    <row r="5" customFormat="false" ht="15" hidden="false" customHeight="true" outlineLevel="0" collapsed="false">
      <c r="A5" s="27"/>
      <c r="B5" s="30"/>
      <c r="C5" s="29"/>
      <c r="D5" s="20" t="n">
        <f aca="false">IFERROR(B5*C5,0)</f>
        <v>0</v>
      </c>
      <c r="E5" s="25" t="n">
        <f aca="false">IFERROR(IF(B5=0,0,D5/B5),0)</f>
        <v>0</v>
      </c>
      <c r="F5" s="28"/>
      <c r="G5" s="28"/>
      <c r="H5" s="30"/>
    </row>
    <row r="6" customFormat="false" ht="15" hidden="false" customHeight="true" outlineLevel="0" collapsed="false">
      <c r="A6" s="27"/>
      <c r="B6" s="30"/>
      <c r="C6" s="29"/>
      <c r="D6" s="20" t="n">
        <f aca="false">IFERROR(B6*C6,0)</f>
        <v>0</v>
      </c>
      <c r="E6" s="25" t="n">
        <f aca="false">IFERROR(IF(B6=0,0,D6/B6),0)</f>
        <v>0</v>
      </c>
      <c r="F6" s="28"/>
      <c r="G6" s="28"/>
      <c r="H6" s="30"/>
    </row>
    <row r="7" customFormat="false" ht="15" hidden="false" customHeight="true" outlineLevel="0" collapsed="false">
      <c r="A7" s="27"/>
      <c r="B7" s="30"/>
      <c r="C7" s="29"/>
      <c r="D7" s="20" t="n">
        <f aca="false">IFERROR(B7*C7,0)</f>
        <v>0</v>
      </c>
      <c r="E7" s="25" t="n">
        <f aca="false">IFERROR(IF(B7=0,0,D7/B7),0)</f>
        <v>0</v>
      </c>
      <c r="F7" s="28"/>
      <c r="G7" s="28"/>
      <c r="H7" s="30"/>
    </row>
    <row r="8" customFormat="false" ht="15" hidden="false" customHeight="true" outlineLevel="0" collapsed="false">
      <c r="A8" s="27"/>
      <c r="B8" s="30"/>
      <c r="C8" s="29"/>
      <c r="D8" s="20" t="n">
        <f aca="false">IFERROR(B8*C8,0)</f>
        <v>0</v>
      </c>
      <c r="E8" s="25" t="n">
        <f aca="false">IFERROR(IF(B8=0,0,D8/B8),0)</f>
        <v>0</v>
      </c>
      <c r="F8" s="28"/>
      <c r="G8" s="28"/>
      <c r="H8" s="30"/>
    </row>
    <row r="9" customFormat="false" ht="15" hidden="false" customHeight="true" outlineLevel="0" collapsed="false">
      <c r="A9" s="27"/>
      <c r="B9" s="30"/>
      <c r="C9" s="29"/>
      <c r="D9" s="20" t="n">
        <f aca="false">IFERROR(B9*C9,0)</f>
        <v>0</v>
      </c>
      <c r="E9" s="25" t="n">
        <f aca="false">IFERROR(IF(B9=0,0,D9/B9),0)</f>
        <v>0</v>
      </c>
      <c r="F9" s="28"/>
      <c r="G9" s="28"/>
      <c r="H9" s="30"/>
    </row>
    <row r="10" customFormat="false" ht="15" hidden="false" customHeight="true" outlineLevel="0" collapsed="false">
      <c r="A10" s="27"/>
      <c r="B10" s="30"/>
      <c r="C10" s="29"/>
      <c r="D10" s="20" t="n">
        <f aca="false">IFERROR(B10*C10,0)</f>
        <v>0</v>
      </c>
      <c r="E10" s="25" t="n">
        <f aca="false">IFERROR(IF(B10=0,0,D10/B10),0)</f>
        <v>0</v>
      </c>
      <c r="F10" s="28"/>
      <c r="G10" s="28"/>
      <c r="H10" s="30"/>
    </row>
    <row r="11" customFormat="false" ht="15" hidden="false" customHeight="true" outlineLevel="0" collapsed="false">
      <c r="A11" s="27"/>
      <c r="B11" s="30"/>
      <c r="C11" s="29"/>
      <c r="D11" s="20" t="n">
        <f aca="false">IFERROR(B11*C11,0)</f>
        <v>0</v>
      </c>
      <c r="E11" s="25" t="n">
        <f aca="false">IFERROR(IF(B11=0,0,D11/B11),0)</f>
        <v>0</v>
      </c>
      <c r="F11" s="28"/>
      <c r="G11" s="28"/>
      <c r="H11" s="30"/>
    </row>
    <row r="12" customFormat="false" ht="15" hidden="false" customHeight="true" outlineLevel="0" collapsed="false">
      <c r="A12" s="27"/>
      <c r="B12" s="30"/>
      <c r="C12" s="29"/>
      <c r="D12" s="20" t="n">
        <f aca="false">IFERROR(B12*C12,0)</f>
        <v>0</v>
      </c>
      <c r="E12" s="25" t="n">
        <f aca="false">IFERROR(IF(B12=0,0,D12/B12),0)</f>
        <v>0</v>
      </c>
      <c r="F12" s="28"/>
      <c r="G12" s="28"/>
      <c r="H12" s="30"/>
    </row>
    <row r="13" customFormat="false" ht="15" hidden="false" customHeight="true" outlineLevel="0" collapsed="false">
      <c r="A13" s="27"/>
      <c r="B13" s="30"/>
      <c r="C13" s="29"/>
      <c r="D13" s="20" t="n">
        <f aca="false">IFERROR(B13*C13,0)</f>
        <v>0</v>
      </c>
      <c r="E13" s="25" t="n">
        <f aca="false">IFERROR(IF(B13=0,0,D13/B13),0)</f>
        <v>0</v>
      </c>
      <c r="F13" s="28"/>
      <c r="G13" s="28"/>
      <c r="H13" s="30"/>
    </row>
    <row r="14" customFormat="false" ht="15" hidden="false" customHeight="true" outlineLevel="0" collapsed="false">
      <c r="A14" s="27"/>
      <c r="B14" s="30"/>
      <c r="C14" s="29"/>
      <c r="D14" s="20" t="n">
        <f aca="false">IFERROR(B14*C14,0)</f>
        <v>0</v>
      </c>
      <c r="E14" s="25" t="n">
        <f aca="false">IFERROR(IF(B14=0,0,D14/B14),0)</f>
        <v>0</v>
      </c>
      <c r="F14" s="28"/>
      <c r="G14" s="28"/>
      <c r="H14" s="30"/>
    </row>
    <row r="15" customFormat="false" ht="15" hidden="false" customHeight="true" outlineLevel="0" collapsed="false">
      <c r="A15" s="27"/>
      <c r="B15" s="30"/>
      <c r="C15" s="29"/>
      <c r="D15" s="20" t="n">
        <f aca="false">IFERROR(B15*C15,0)</f>
        <v>0</v>
      </c>
      <c r="E15" s="25" t="n">
        <f aca="false">IFERROR(IF(B15=0,0,D15/B15),0)</f>
        <v>0</v>
      </c>
      <c r="F15" s="28"/>
      <c r="G15" s="28"/>
      <c r="H15" s="30"/>
    </row>
    <row r="16" customFormat="false" ht="15" hidden="false" customHeight="true" outlineLevel="0" collapsed="false">
      <c r="A16" s="27"/>
      <c r="B16" s="30"/>
      <c r="C16" s="29"/>
      <c r="D16" s="20" t="n">
        <f aca="false">IFERROR(B16*C16,0)</f>
        <v>0</v>
      </c>
      <c r="E16" s="25" t="n">
        <f aca="false">IFERROR(IF(B16=0,0,D16/B16),0)</f>
        <v>0</v>
      </c>
      <c r="F16" s="28"/>
      <c r="G16" s="28"/>
      <c r="H16" s="30"/>
    </row>
    <row r="17" customFormat="false" ht="15" hidden="false" customHeight="true" outlineLevel="0" collapsed="false">
      <c r="A17" s="27"/>
      <c r="B17" s="30"/>
      <c r="C17" s="29"/>
      <c r="D17" s="20" t="n">
        <f aca="false">IFERROR(B17*C17,0)</f>
        <v>0</v>
      </c>
      <c r="E17" s="25" t="n">
        <f aca="false">IFERROR(IF(B17=0,0,D17/B17),0)</f>
        <v>0</v>
      </c>
      <c r="F17" s="28"/>
      <c r="G17" s="28"/>
      <c r="H17" s="30"/>
    </row>
    <row r="18" customFormat="false" ht="15" hidden="false" customHeight="true" outlineLevel="0" collapsed="false">
      <c r="A18" s="27"/>
      <c r="B18" s="30"/>
      <c r="C18" s="29"/>
      <c r="D18" s="20" t="n">
        <f aca="false">IFERROR(B18*C18,0)</f>
        <v>0</v>
      </c>
      <c r="E18" s="25" t="n">
        <f aca="false">IFERROR(IF(B18=0,0,D18/B18),0)</f>
        <v>0</v>
      </c>
      <c r="F18" s="28"/>
      <c r="G18" s="28"/>
      <c r="H18" s="30"/>
    </row>
    <row r="19" customFormat="false" ht="15" hidden="false" customHeight="true" outlineLevel="0" collapsed="false">
      <c r="A19" s="27"/>
      <c r="B19" s="30"/>
      <c r="C19" s="29"/>
      <c r="D19" s="20" t="n">
        <f aca="false">IFERROR(B19*C19,0)</f>
        <v>0</v>
      </c>
      <c r="E19" s="25" t="n">
        <f aca="false">IFERROR(IF(B19=0,0,D19/B19),0)</f>
        <v>0</v>
      </c>
      <c r="F19" s="28"/>
      <c r="G19" s="28"/>
      <c r="H19" s="30"/>
    </row>
    <row r="20" customFormat="false" ht="15" hidden="false" customHeight="true" outlineLevel="0" collapsed="false">
      <c r="A20" s="27"/>
      <c r="B20" s="30"/>
      <c r="C20" s="29"/>
      <c r="D20" s="20" t="n">
        <f aca="false">IFERROR(B20*C20,0)</f>
        <v>0</v>
      </c>
      <c r="E20" s="25" t="n">
        <f aca="false">IFERROR(IF(B20=0,0,D20/B20),0)</f>
        <v>0</v>
      </c>
      <c r="F20" s="28"/>
      <c r="G20" s="28"/>
      <c r="H20" s="30"/>
    </row>
    <row r="21" customFormat="false" ht="15" hidden="false" customHeight="true" outlineLevel="0" collapsed="false">
      <c r="A21" s="27"/>
      <c r="B21" s="30"/>
      <c r="C21" s="29"/>
      <c r="D21" s="20" t="n">
        <f aca="false">IFERROR(B21*C21,0)</f>
        <v>0</v>
      </c>
      <c r="E21" s="25" t="n">
        <f aca="false">IFERROR(IF(B21=0,0,D21/B21),0)</f>
        <v>0</v>
      </c>
      <c r="F21" s="28"/>
      <c r="G21" s="28"/>
      <c r="H21" s="30"/>
    </row>
    <row r="22" customFormat="false" ht="15" hidden="false" customHeight="true" outlineLevel="0" collapsed="false">
      <c r="A22" s="27"/>
      <c r="B22" s="30"/>
      <c r="C22" s="29"/>
      <c r="D22" s="20" t="n">
        <f aca="false">IFERROR(B22*C22,0)</f>
        <v>0</v>
      </c>
      <c r="E22" s="25" t="n">
        <f aca="false">IFERROR(IF(B22=0,0,D22/B22),0)</f>
        <v>0</v>
      </c>
      <c r="F22" s="28"/>
      <c r="G22" s="28"/>
      <c r="H22" s="30"/>
    </row>
    <row r="23" customFormat="false" ht="15" hidden="false" customHeight="true" outlineLevel="0" collapsed="false">
      <c r="A23" s="27"/>
      <c r="B23" s="30"/>
      <c r="C23" s="29"/>
      <c r="D23" s="20" t="n">
        <f aca="false">IFERROR(B23*C23,0)</f>
        <v>0</v>
      </c>
      <c r="E23" s="25" t="n">
        <f aca="false">IFERROR(IF(B23=0,0,D23/B23),0)</f>
        <v>0</v>
      </c>
      <c r="F23" s="28"/>
      <c r="G23" s="28"/>
      <c r="H23" s="30"/>
    </row>
    <row r="24" customFormat="false" ht="15" hidden="false" customHeight="true" outlineLevel="0" collapsed="false">
      <c r="A24" s="27"/>
      <c r="B24" s="30"/>
      <c r="C24" s="29"/>
      <c r="D24" s="20" t="n">
        <f aca="false">IFERROR(B24*C24,0)</f>
        <v>0</v>
      </c>
      <c r="E24" s="25" t="n">
        <f aca="false">IFERROR(IF(B24=0,0,D24/B24),0)</f>
        <v>0</v>
      </c>
      <c r="F24" s="28"/>
      <c r="G24" s="28"/>
      <c r="H24" s="30"/>
    </row>
    <row r="25" customFormat="false" ht="15" hidden="false" customHeight="true" outlineLevel="0" collapsed="false">
      <c r="A25" s="27"/>
      <c r="B25" s="30"/>
      <c r="C25" s="29"/>
      <c r="D25" s="20" t="n">
        <f aca="false">IFERROR(B25*C25,0)</f>
        <v>0</v>
      </c>
      <c r="E25" s="25" t="n">
        <f aca="false">IFERROR(IF(B25=0,0,D25/B25),0)</f>
        <v>0</v>
      </c>
      <c r="F25" s="28"/>
      <c r="G25" s="28"/>
      <c r="H25" s="30"/>
    </row>
    <row r="26" customFormat="false" ht="15" hidden="false" customHeight="true" outlineLevel="0" collapsed="false">
      <c r="A26" s="27"/>
      <c r="B26" s="30"/>
      <c r="C26" s="29"/>
      <c r="D26" s="20" t="n">
        <f aca="false">IFERROR(B26*C26,0)</f>
        <v>0</v>
      </c>
      <c r="E26" s="25" t="n">
        <f aca="false">IFERROR(IF(B26=0,0,D26/B26),0)</f>
        <v>0</v>
      </c>
      <c r="F26" s="28"/>
      <c r="G26" s="28"/>
      <c r="H26" s="30"/>
    </row>
    <row r="27" customFormat="false" ht="15" hidden="false" customHeight="true" outlineLevel="0" collapsed="false">
      <c r="A27" s="27"/>
      <c r="B27" s="30"/>
      <c r="C27" s="29"/>
      <c r="D27" s="20" t="n">
        <f aca="false">IFERROR(B27*C27,0)</f>
        <v>0</v>
      </c>
      <c r="E27" s="25" t="n">
        <f aca="false">IFERROR(IF(B27=0,0,D27/B27),0)</f>
        <v>0</v>
      </c>
      <c r="F27" s="28"/>
      <c r="G27" s="28"/>
      <c r="H27" s="30"/>
    </row>
    <row r="28" customFormat="false" ht="15" hidden="false" customHeight="true" outlineLevel="0" collapsed="false">
      <c r="A28" s="27"/>
      <c r="B28" s="30"/>
      <c r="C28" s="29"/>
      <c r="D28" s="20" t="n">
        <f aca="false">IFERROR(B28*C28,0)</f>
        <v>0</v>
      </c>
      <c r="E28" s="25" t="n">
        <f aca="false">IFERROR(IF(B28=0,0,D28/B28),0)</f>
        <v>0</v>
      </c>
      <c r="F28" s="28"/>
      <c r="G28" s="28"/>
      <c r="H28" s="30"/>
    </row>
    <row r="29" customFormat="false" ht="15" hidden="false" customHeight="true" outlineLevel="0" collapsed="false">
      <c r="A29" s="27"/>
      <c r="B29" s="30"/>
      <c r="C29" s="29"/>
      <c r="D29" s="20" t="n">
        <f aca="false">IFERROR(B29*C29,0)</f>
        <v>0</v>
      </c>
      <c r="E29" s="25" t="n">
        <f aca="false">IFERROR(IF(B29=0,0,D29/B29),0)</f>
        <v>0</v>
      </c>
      <c r="F29" s="28"/>
      <c r="G29" s="28"/>
      <c r="H29" s="30"/>
    </row>
    <row r="30" customFormat="false" ht="15" hidden="false" customHeight="true" outlineLevel="0" collapsed="false">
      <c r="A30" s="27"/>
      <c r="B30" s="30"/>
      <c r="C30" s="29"/>
      <c r="D30" s="20" t="n">
        <f aca="false">IFERROR(B30*C30,0)</f>
        <v>0</v>
      </c>
      <c r="E30" s="25" t="n">
        <f aca="false">IFERROR(IF(B30=0,0,D30/B30),0)</f>
        <v>0</v>
      </c>
      <c r="F30" s="28"/>
      <c r="G30" s="28"/>
      <c r="H30" s="30"/>
    </row>
    <row r="31" customFormat="false" ht="15" hidden="false" customHeight="true" outlineLevel="0" collapsed="false">
      <c r="A31" s="27"/>
      <c r="B31" s="30"/>
      <c r="C31" s="29"/>
      <c r="D31" s="20" t="n">
        <f aca="false">IFERROR(B31*C31,0)</f>
        <v>0</v>
      </c>
      <c r="E31" s="25" t="n">
        <f aca="false">IFERROR(IF(B31=0,0,D31/B31),0)</f>
        <v>0</v>
      </c>
      <c r="F31" s="28"/>
      <c r="G31" s="28"/>
      <c r="H31" s="30"/>
    </row>
    <row r="32" customFormat="false" ht="15" hidden="false" customHeight="true" outlineLevel="0" collapsed="false">
      <c r="A32" s="27"/>
      <c r="B32" s="30"/>
      <c r="C32" s="29"/>
      <c r="D32" s="20" t="n">
        <f aca="false">IFERROR(B32*C32,0)</f>
        <v>0</v>
      </c>
      <c r="E32" s="25" t="n">
        <f aca="false">IFERROR(IF(B32=0,0,D32/B32),0)</f>
        <v>0</v>
      </c>
      <c r="F32" s="28"/>
      <c r="G32" s="28"/>
      <c r="H32" s="30"/>
    </row>
    <row r="33" customFormat="false" ht="15" hidden="false" customHeight="true" outlineLevel="0" collapsed="false">
      <c r="A33" s="27"/>
      <c r="B33" s="30"/>
      <c r="C33" s="29"/>
      <c r="D33" s="20" t="n">
        <f aca="false">IFERROR(B33*C33,0)</f>
        <v>0</v>
      </c>
      <c r="E33" s="25" t="n">
        <f aca="false">IFERROR(IF(B33=0,0,D33/B33),0)</f>
        <v>0</v>
      </c>
      <c r="F33" s="28"/>
      <c r="G33" s="28"/>
      <c r="H33" s="30"/>
    </row>
    <row r="34" customFormat="false" ht="15" hidden="false" customHeight="true" outlineLevel="0" collapsed="false">
      <c r="A34" s="27"/>
      <c r="B34" s="30"/>
      <c r="C34" s="29"/>
      <c r="D34" s="20" t="n">
        <f aca="false">IFERROR(B34*C34,0)</f>
        <v>0</v>
      </c>
      <c r="E34" s="25" t="n">
        <f aca="false">IFERROR(IF(B34=0,0,D34/B34),0)</f>
        <v>0</v>
      </c>
      <c r="F34" s="28"/>
      <c r="G34" s="28"/>
      <c r="H34" s="30"/>
    </row>
    <row r="35" customFormat="false" ht="15" hidden="false" customHeight="true" outlineLevel="0" collapsed="false">
      <c r="A35" s="27"/>
      <c r="B35" s="30"/>
      <c r="C35" s="29"/>
      <c r="D35" s="20" t="n">
        <f aca="false">IFERROR(B35*C35,0)</f>
        <v>0</v>
      </c>
      <c r="E35" s="25" t="n">
        <f aca="false">IFERROR(IF(B35=0,0,D35/B35),0)</f>
        <v>0</v>
      </c>
      <c r="F35" s="28"/>
      <c r="G35" s="28"/>
      <c r="H35" s="30"/>
    </row>
    <row r="36" customFormat="false" ht="15" hidden="false" customHeight="true" outlineLevel="0" collapsed="false">
      <c r="A36" s="27"/>
      <c r="B36" s="30"/>
      <c r="C36" s="29"/>
      <c r="D36" s="20" t="n">
        <f aca="false">IFERROR(B36*C36,0)</f>
        <v>0</v>
      </c>
      <c r="E36" s="25" t="n">
        <f aca="false">IFERROR(IF(B36=0,0,D36/B36),0)</f>
        <v>0</v>
      </c>
      <c r="F36" s="28"/>
      <c r="G36" s="28"/>
      <c r="H36" s="30"/>
    </row>
    <row r="37" customFormat="false" ht="15" hidden="false" customHeight="true" outlineLevel="0" collapsed="false">
      <c r="A37" s="27"/>
      <c r="B37" s="30"/>
      <c r="C37" s="29"/>
      <c r="D37" s="20" t="n">
        <f aca="false">IFERROR(B37*C37,0)</f>
        <v>0</v>
      </c>
      <c r="E37" s="25" t="n">
        <f aca="false">IFERROR(IF(B37=0,0,D37/B37),0)</f>
        <v>0</v>
      </c>
      <c r="F37" s="28"/>
      <c r="G37" s="28"/>
      <c r="H37" s="30"/>
    </row>
    <row r="38" customFormat="false" ht="15" hidden="false" customHeight="true" outlineLevel="0" collapsed="false">
      <c r="A38" s="27"/>
      <c r="B38" s="30"/>
      <c r="C38" s="29"/>
      <c r="D38" s="20" t="n">
        <f aca="false">IFERROR(B38*C38,0)</f>
        <v>0</v>
      </c>
      <c r="E38" s="25" t="n">
        <f aca="false">IFERROR(IF(B38=0,0,D38/B38),0)</f>
        <v>0</v>
      </c>
      <c r="F38" s="28"/>
      <c r="G38" s="28"/>
      <c r="H38" s="30"/>
    </row>
    <row r="39" customFormat="false" ht="15" hidden="false" customHeight="true" outlineLevel="0" collapsed="false">
      <c r="A39" s="27"/>
      <c r="B39" s="30"/>
      <c r="C39" s="29"/>
      <c r="D39" s="20" t="n">
        <f aca="false">IFERROR(B39*C39,0)</f>
        <v>0</v>
      </c>
      <c r="E39" s="25" t="n">
        <f aca="false">IFERROR(IF(B39=0,0,D39/B39),0)</f>
        <v>0</v>
      </c>
      <c r="F39" s="28"/>
      <c r="G39" s="28"/>
      <c r="H39" s="30"/>
    </row>
    <row r="40" customFormat="false" ht="15" hidden="false" customHeight="true" outlineLevel="0" collapsed="false">
      <c r="A40" s="27"/>
      <c r="B40" s="30"/>
      <c r="C40" s="29"/>
      <c r="D40" s="20" t="n">
        <f aca="false">IFERROR(B40*C40,0)</f>
        <v>0</v>
      </c>
      <c r="E40" s="25" t="n">
        <f aca="false">IFERROR(IF(B40=0,0,D40/B40),0)</f>
        <v>0</v>
      </c>
      <c r="F40" s="28"/>
      <c r="G40" s="28"/>
      <c r="H40" s="30"/>
    </row>
    <row r="41" customFormat="false" ht="15" hidden="false" customHeight="true" outlineLevel="0" collapsed="false">
      <c r="A41" s="27"/>
      <c r="B41" s="30"/>
      <c r="C41" s="29"/>
      <c r="D41" s="20" t="n">
        <f aca="false">IFERROR(B41*C41,0)</f>
        <v>0</v>
      </c>
      <c r="E41" s="25" t="n">
        <f aca="false">IFERROR(IF(B41=0,0,D41/B41),0)</f>
        <v>0</v>
      </c>
      <c r="F41" s="28"/>
      <c r="G41" s="28"/>
      <c r="H41" s="30"/>
    </row>
    <row r="42" customFormat="false" ht="15" hidden="false" customHeight="true" outlineLevel="0" collapsed="false">
      <c r="A42" s="27"/>
      <c r="B42" s="30"/>
      <c r="C42" s="29"/>
      <c r="D42" s="20" t="n">
        <f aca="false">IFERROR(B42*C42,0)</f>
        <v>0</v>
      </c>
      <c r="E42" s="25" t="n">
        <f aca="false">IFERROR(IF(B42=0,0,D42/B42),0)</f>
        <v>0</v>
      </c>
      <c r="F42" s="28"/>
      <c r="G42" s="28"/>
      <c r="H42" s="30"/>
    </row>
    <row r="43" customFormat="false" ht="15" hidden="false" customHeight="true" outlineLevel="0" collapsed="false">
      <c r="A43" s="27"/>
      <c r="B43" s="30"/>
      <c r="C43" s="29"/>
      <c r="D43" s="20" t="n">
        <f aca="false">IFERROR(B43*C43,0)</f>
        <v>0</v>
      </c>
      <c r="E43" s="25" t="n">
        <f aca="false">IFERROR(IF(B43=0,0,D43/B43),0)</f>
        <v>0</v>
      </c>
      <c r="F43" s="28"/>
      <c r="G43" s="28"/>
      <c r="H43" s="30"/>
    </row>
    <row r="44" customFormat="false" ht="15" hidden="false" customHeight="true" outlineLevel="0" collapsed="false">
      <c r="A44" s="27"/>
      <c r="B44" s="30"/>
      <c r="C44" s="29"/>
      <c r="D44" s="20" t="n">
        <f aca="false">IFERROR(B44*C44,0)</f>
        <v>0</v>
      </c>
      <c r="E44" s="25" t="n">
        <f aca="false">IFERROR(IF(B44=0,0,D44/B44),0)</f>
        <v>0</v>
      </c>
      <c r="F44" s="28"/>
      <c r="G44" s="28"/>
      <c r="H44" s="30"/>
    </row>
    <row r="45" customFormat="false" ht="15" hidden="false" customHeight="true" outlineLevel="0" collapsed="false">
      <c r="A45" s="27"/>
      <c r="B45" s="30"/>
      <c r="C45" s="29"/>
      <c r="D45" s="20" t="n">
        <f aca="false">IFERROR(B45*C45,0)</f>
        <v>0</v>
      </c>
      <c r="E45" s="25" t="n">
        <f aca="false">IFERROR(IF(B45=0,0,D45/B45),0)</f>
        <v>0</v>
      </c>
      <c r="F45" s="28"/>
      <c r="G45" s="28"/>
      <c r="H45" s="30"/>
    </row>
    <row r="46" customFormat="false" ht="15" hidden="false" customHeight="true" outlineLevel="0" collapsed="false">
      <c r="A46" s="27"/>
      <c r="B46" s="30"/>
      <c r="C46" s="29"/>
      <c r="D46" s="20" t="n">
        <f aca="false">IFERROR(B46*C46,0)</f>
        <v>0</v>
      </c>
      <c r="E46" s="25" t="n">
        <f aca="false">IFERROR(IF(B46=0,0,D46/B46),0)</f>
        <v>0</v>
      </c>
      <c r="F46" s="28"/>
      <c r="G46" s="28"/>
      <c r="H46" s="30"/>
    </row>
    <row r="47" customFormat="false" ht="15" hidden="false" customHeight="true" outlineLevel="0" collapsed="false">
      <c r="A47" s="27"/>
      <c r="B47" s="30"/>
      <c r="C47" s="29"/>
      <c r="D47" s="20" t="n">
        <f aca="false">IFERROR(B47*C47,0)</f>
        <v>0</v>
      </c>
      <c r="E47" s="25" t="n">
        <f aca="false">IFERROR(IF(B47=0,0,D47/B47),0)</f>
        <v>0</v>
      </c>
      <c r="F47" s="28"/>
      <c r="G47" s="28"/>
      <c r="H47" s="30"/>
    </row>
    <row r="48" customFormat="false" ht="15" hidden="false" customHeight="true" outlineLevel="0" collapsed="false">
      <c r="A48" s="27"/>
      <c r="B48" s="30"/>
      <c r="C48" s="29"/>
      <c r="D48" s="20" t="n">
        <f aca="false">IFERROR(B48*C48,0)</f>
        <v>0</v>
      </c>
      <c r="E48" s="25" t="n">
        <f aca="false">IFERROR(IF(B48=0,0,D48/B48),0)</f>
        <v>0</v>
      </c>
      <c r="F48" s="28"/>
      <c r="G48" s="28"/>
      <c r="H48" s="30"/>
    </row>
    <row r="49" customFormat="false" ht="15" hidden="false" customHeight="true" outlineLevel="0" collapsed="false">
      <c r="A49" s="27"/>
      <c r="B49" s="30"/>
      <c r="C49" s="29"/>
      <c r="D49" s="20" t="n">
        <f aca="false">IFERROR(B49*C49,0)</f>
        <v>0</v>
      </c>
      <c r="E49" s="25" t="n">
        <f aca="false">IFERROR(IF(B49=0,0,D49/B49),0)</f>
        <v>0</v>
      </c>
      <c r="F49" s="28"/>
      <c r="G49" s="28"/>
      <c r="H49" s="30"/>
    </row>
    <row r="50" customFormat="false" ht="15" hidden="false" customHeight="true" outlineLevel="0" collapsed="false">
      <c r="A50" s="27"/>
      <c r="B50" s="30"/>
      <c r="C50" s="29"/>
      <c r="D50" s="20" t="n">
        <f aca="false">IFERROR(B50*C50,0)</f>
        <v>0</v>
      </c>
      <c r="E50" s="25" t="n">
        <f aca="false">IFERROR(IF(B50=0,0,D50/B50),0)</f>
        <v>0</v>
      </c>
      <c r="F50" s="28"/>
      <c r="G50" s="28"/>
      <c r="H50" s="30"/>
    </row>
    <row r="51" customFormat="false" ht="15" hidden="false" customHeight="true" outlineLevel="0" collapsed="false">
      <c r="A51" s="27"/>
      <c r="B51" s="30"/>
      <c r="C51" s="29"/>
      <c r="D51" s="20" t="n">
        <f aca="false">IFERROR(B51*C51,0)</f>
        <v>0</v>
      </c>
      <c r="E51" s="25" t="n">
        <f aca="false">IFERROR(IF(B51=0,0,D51/B51),0)</f>
        <v>0</v>
      </c>
      <c r="F51" s="28"/>
      <c r="G51" s="28"/>
      <c r="H51" s="30"/>
    </row>
    <row r="52" customFormat="false" ht="15" hidden="false" customHeight="true" outlineLevel="0" collapsed="false">
      <c r="A52" s="27"/>
      <c r="B52" s="30"/>
      <c r="C52" s="29"/>
      <c r="D52" s="20" t="n">
        <f aca="false">IFERROR(B52*C52,0)</f>
        <v>0</v>
      </c>
      <c r="E52" s="25" t="n">
        <f aca="false">IFERROR(IF(B52=0,0,D52/B52),0)</f>
        <v>0</v>
      </c>
      <c r="F52" s="28"/>
      <c r="G52" s="28"/>
      <c r="H52" s="30"/>
    </row>
    <row r="53" customFormat="false" ht="15" hidden="false" customHeight="true" outlineLevel="0" collapsed="false">
      <c r="A53" s="27"/>
      <c r="B53" s="30"/>
      <c r="C53" s="29"/>
      <c r="D53" s="20" t="n">
        <f aca="false">IFERROR(B53*C53,0)</f>
        <v>0</v>
      </c>
      <c r="E53" s="25" t="n">
        <f aca="false">IFERROR(IF(B53=0,0,D53/B53),0)</f>
        <v>0</v>
      </c>
      <c r="F53" s="28"/>
      <c r="G53" s="28"/>
      <c r="H53" s="30"/>
    </row>
    <row r="54" customFormat="false" ht="15" hidden="false" customHeight="true" outlineLevel="0" collapsed="false">
      <c r="A54" s="27"/>
      <c r="B54" s="30"/>
      <c r="C54" s="29"/>
      <c r="D54" s="20" t="n">
        <f aca="false">IFERROR(B54*C54,0)</f>
        <v>0</v>
      </c>
      <c r="E54" s="25" t="n">
        <f aca="false">IFERROR(IF(B54=0,0,D54/B54),0)</f>
        <v>0</v>
      </c>
      <c r="F54" s="28"/>
      <c r="G54" s="28"/>
      <c r="H54" s="30"/>
    </row>
    <row r="55" customFormat="false" ht="15" hidden="false" customHeight="true" outlineLevel="0" collapsed="false">
      <c r="A55" s="27"/>
      <c r="B55" s="30"/>
      <c r="C55" s="29"/>
      <c r="D55" s="20" t="n">
        <f aca="false">IFERROR(B55*C55,0)</f>
        <v>0</v>
      </c>
      <c r="E55" s="25" t="n">
        <f aca="false">IFERROR(IF(B55=0,0,D55/B55),0)</f>
        <v>0</v>
      </c>
      <c r="F55" s="28"/>
      <c r="G55" s="28"/>
      <c r="H55" s="30"/>
    </row>
    <row r="56" customFormat="false" ht="15" hidden="false" customHeight="true" outlineLevel="0" collapsed="false">
      <c r="A56" s="27"/>
      <c r="B56" s="30"/>
      <c r="C56" s="29"/>
      <c r="D56" s="20" t="n">
        <f aca="false">IFERROR(B56*C56,0)</f>
        <v>0</v>
      </c>
      <c r="E56" s="25" t="n">
        <f aca="false">IFERROR(IF(B56=0,0,D56/B56),0)</f>
        <v>0</v>
      </c>
      <c r="F56" s="28"/>
      <c r="G56" s="28"/>
      <c r="H56" s="30"/>
    </row>
    <row r="57" customFormat="false" ht="15" hidden="false" customHeight="true" outlineLevel="0" collapsed="false">
      <c r="A57" s="27"/>
      <c r="B57" s="30"/>
      <c r="C57" s="29"/>
      <c r="D57" s="20" t="n">
        <f aca="false">IFERROR(B57*C57,0)</f>
        <v>0</v>
      </c>
      <c r="E57" s="25" t="n">
        <f aca="false">IFERROR(IF(B57=0,0,D57/B57),0)</f>
        <v>0</v>
      </c>
      <c r="F57" s="28"/>
      <c r="G57" s="28"/>
      <c r="H57" s="30"/>
    </row>
    <row r="58" customFormat="false" ht="15" hidden="false" customHeight="true" outlineLevel="0" collapsed="false">
      <c r="A58" s="27"/>
      <c r="B58" s="30"/>
      <c r="C58" s="29"/>
      <c r="D58" s="20" t="n">
        <f aca="false">IFERROR(B58*C58,0)</f>
        <v>0</v>
      </c>
      <c r="E58" s="25" t="n">
        <f aca="false">IFERROR(IF(B58=0,0,D58/B58),0)</f>
        <v>0</v>
      </c>
      <c r="F58" s="28"/>
      <c r="G58" s="28"/>
      <c r="H58" s="30"/>
    </row>
    <row r="59" customFormat="false" ht="15" hidden="false" customHeight="true" outlineLevel="0" collapsed="false">
      <c r="A59" s="27"/>
      <c r="B59" s="30"/>
      <c r="C59" s="29"/>
      <c r="D59" s="20" t="n">
        <f aca="false">IFERROR(B59*C59,0)</f>
        <v>0</v>
      </c>
      <c r="E59" s="25" t="n">
        <f aca="false">IFERROR(IF(B59=0,0,D59/B59),0)</f>
        <v>0</v>
      </c>
      <c r="F59" s="28"/>
      <c r="G59" s="28"/>
      <c r="H59" s="30"/>
    </row>
    <row r="60" customFormat="false" ht="15" hidden="false" customHeight="true" outlineLevel="0" collapsed="false">
      <c r="A60" s="27"/>
      <c r="B60" s="30"/>
      <c r="C60" s="29"/>
      <c r="D60" s="20" t="n">
        <f aca="false">IFERROR(B60*C60,0)</f>
        <v>0</v>
      </c>
      <c r="E60" s="25" t="n">
        <f aca="false">IFERROR(IF(B60=0,0,D60/B60),0)</f>
        <v>0</v>
      </c>
      <c r="F60" s="28"/>
      <c r="G60" s="28"/>
      <c r="H60" s="30"/>
    </row>
    <row r="61" customFormat="false" ht="15" hidden="false" customHeight="true" outlineLevel="0" collapsed="false">
      <c r="A61" s="27"/>
      <c r="B61" s="30"/>
      <c r="C61" s="29"/>
      <c r="D61" s="20" t="n">
        <f aca="false">IFERROR(B61*C61,0)</f>
        <v>0</v>
      </c>
      <c r="E61" s="25" t="n">
        <f aca="false">IFERROR(IF(B61=0,0,D61/B61),0)</f>
        <v>0</v>
      </c>
      <c r="F61" s="28"/>
      <c r="G61" s="28"/>
      <c r="H61" s="30"/>
    </row>
    <row r="62" customFormat="false" ht="15" hidden="false" customHeight="true" outlineLevel="0" collapsed="false">
      <c r="A62" s="27"/>
      <c r="B62" s="30"/>
      <c r="C62" s="29"/>
      <c r="D62" s="20" t="n">
        <f aca="false">IFERROR(B62*C62,0)</f>
        <v>0</v>
      </c>
      <c r="E62" s="25" t="n">
        <f aca="false">IFERROR(IF(B62=0,0,D62/B62),0)</f>
        <v>0</v>
      </c>
      <c r="F62" s="28"/>
      <c r="G62" s="28"/>
      <c r="H62" s="30"/>
    </row>
    <row r="63" customFormat="false" ht="15" hidden="false" customHeight="true" outlineLevel="0" collapsed="false">
      <c r="A63" s="27"/>
      <c r="B63" s="30"/>
      <c r="C63" s="29"/>
      <c r="D63" s="20" t="n">
        <f aca="false">IFERROR(B63*C63,0)</f>
        <v>0</v>
      </c>
      <c r="E63" s="25" t="n">
        <f aca="false">IFERROR(IF(B63=0,0,D63/B63),0)</f>
        <v>0</v>
      </c>
      <c r="F63" s="28"/>
      <c r="G63" s="28"/>
      <c r="H63" s="30"/>
    </row>
    <row r="64" customFormat="false" ht="15" hidden="false" customHeight="true" outlineLevel="0" collapsed="false">
      <c r="A64" s="27"/>
      <c r="B64" s="30"/>
      <c r="C64" s="29"/>
      <c r="D64" s="20" t="n">
        <f aca="false">IFERROR(B64*C64,0)</f>
        <v>0</v>
      </c>
      <c r="E64" s="25" t="n">
        <f aca="false">IFERROR(IF(B64=0,0,D64/B64),0)</f>
        <v>0</v>
      </c>
      <c r="F64" s="28"/>
      <c r="G64" s="28"/>
      <c r="H64" s="30"/>
    </row>
    <row r="65" customFormat="false" ht="15" hidden="false" customHeight="true" outlineLevel="0" collapsed="false">
      <c r="A65" s="27"/>
      <c r="B65" s="30"/>
      <c r="C65" s="29"/>
      <c r="D65" s="20" t="n">
        <f aca="false">IFERROR(B65*C65,0)</f>
        <v>0</v>
      </c>
      <c r="E65" s="25" t="n">
        <f aca="false">IFERROR(IF(B65=0,0,D65/B65),0)</f>
        <v>0</v>
      </c>
      <c r="F65" s="28"/>
      <c r="G65" s="28"/>
      <c r="H65" s="30"/>
    </row>
    <row r="66" customFormat="false" ht="15" hidden="false" customHeight="true" outlineLevel="0" collapsed="false">
      <c r="A66" s="27"/>
      <c r="B66" s="30"/>
      <c r="C66" s="29"/>
      <c r="D66" s="20" t="n">
        <f aca="false">IFERROR(B66*C66,0)</f>
        <v>0</v>
      </c>
      <c r="E66" s="25" t="n">
        <f aca="false">IFERROR(IF(B66=0,0,D66/B66),0)</f>
        <v>0</v>
      </c>
      <c r="F66" s="28"/>
      <c r="G66" s="28"/>
      <c r="H66" s="30"/>
    </row>
    <row r="67" customFormat="false" ht="15" hidden="false" customHeight="true" outlineLevel="0" collapsed="false">
      <c r="A67" s="27"/>
      <c r="B67" s="30"/>
      <c r="C67" s="29"/>
      <c r="D67" s="20" t="n">
        <f aca="false">IFERROR(B67*C67,0)</f>
        <v>0</v>
      </c>
      <c r="E67" s="25" t="n">
        <f aca="false">IFERROR(IF(B67=0,0,D67/B67),0)</f>
        <v>0</v>
      </c>
      <c r="F67" s="28"/>
      <c r="G67" s="28"/>
      <c r="H67" s="30"/>
    </row>
    <row r="68" customFormat="false" ht="15" hidden="false" customHeight="true" outlineLevel="0" collapsed="false">
      <c r="A68" s="27"/>
      <c r="B68" s="30"/>
      <c r="C68" s="29"/>
      <c r="D68" s="20" t="n">
        <f aca="false">IFERROR(B68*C68,0)</f>
        <v>0</v>
      </c>
      <c r="E68" s="25" t="n">
        <f aca="false">IFERROR(IF(B68=0,0,D68/B68),0)</f>
        <v>0</v>
      </c>
      <c r="F68" s="28"/>
      <c r="G68" s="28"/>
      <c r="H68" s="30"/>
    </row>
    <row r="69" customFormat="false" ht="15" hidden="false" customHeight="true" outlineLevel="0" collapsed="false">
      <c r="A69" s="27"/>
      <c r="B69" s="30"/>
      <c r="C69" s="29"/>
      <c r="D69" s="20" t="n">
        <f aca="false">IFERROR(B69*C69,0)</f>
        <v>0</v>
      </c>
      <c r="E69" s="25" t="n">
        <f aca="false">IFERROR(IF(B69=0,0,D69/B69),0)</f>
        <v>0</v>
      </c>
      <c r="F69" s="28"/>
      <c r="G69" s="28"/>
      <c r="H69" s="30"/>
    </row>
    <row r="70" customFormat="false" ht="15" hidden="false" customHeight="true" outlineLevel="0" collapsed="false">
      <c r="A70" s="27"/>
      <c r="B70" s="30"/>
      <c r="C70" s="29"/>
      <c r="D70" s="20" t="n">
        <f aca="false">IFERROR(B70*C70,0)</f>
        <v>0</v>
      </c>
      <c r="E70" s="25" t="n">
        <f aca="false">IFERROR(IF(B70=0,0,D70/B70),0)</f>
        <v>0</v>
      </c>
      <c r="F70" s="28"/>
      <c r="G70" s="28"/>
      <c r="H70" s="30"/>
    </row>
    <row r="71" customFormat="false" ht="15" hidden="false" customHeight="true" outlineLevel="0" collapsed="false">
      <c r="A71" s="27"/>
      <c r="B71" s="30"/>
      <c r="C71" s="29"/>
      <c r="D71" s="20" t="n">
        <f aca="false">IFERROR(B71*C71,0)</f>
        <v>0</v>
      </c>
      <c r="E71" s="25" t="n">
        <f aca="false">IFERROR(IF(B71=0,0,D71/B71),0)</f>
        <v>0</v>
      </c>
      <c r="F71" s="28"/>
      <c r="G71" s="28"/>
      <c r="H71" s="30"/>
    </row>
    <row r="72" customFormat="false" ht="15" hidden="false" customHeight="true" outlineLevel="0" collapsed="false">
      <c r="A72" s="27"/>
      <c r="B72" s="30"/>
      <c r="C72" s="29"/>
      <c r="D72" s="20" t="n">
        <f aca="false">IFERROR(B72*C72,0)</f>
        <v>0</v>
      </c>
      <c r="E72" s="25" t="n">
        <f aca="false">IFERROR(IF(B72=0,0,D72/B72),0)</f>
        <v>0</v>
      </c>
      <c r="F72" s="28"/>
      <c r="G72" s="28"/>
      <c r="H72" s="30"/>
    </row>
    <row r="73" customFormat="false" ht="15" hidden="false" customHeight="true" outlineLevel="0" collapsed="false">
      <c r="A73" s="27"/>
      <c r="B73" s="30"/>
      <c r="C73" s="29"/>
      <c r="D73" s="20" t="n">
        <f aca="false">IFERROR(B73*C73,0)</f>
        <v>0</v>
      </c>
      <c r="E73" s="25" t="n">
        <f aca="false">IFERROR(IF(B73=0,0,D73/B73),0)</f>
        <v>0</v>
      </c>
      <c r="F73" s="28"/>
      <c r="G73" s="28"/>
      <c r="H73" s="30"/>
    </row>
    <row r="74" customFormat="false" ht="15" hidden="false" customHeight="true" outlineLevel="0" collapsed="false">
      <c r="A74" s="27"/>
      <c r="B74" s="30"/>
      <c r="C74" s="29"/>
      <c r="D74" s="20" t="n">
        <f aca="false">IFERROR(B74*C74,0)</f>
        <v>0</v>
      </c>
      <c r="E74" s="25" t="n">
        <f aca="false">IFERROR(IF(B74=0,0,D74/B74),0)</f>
        <v>0</v>
      </c>
      <c r="F74" s="28"/>
      <c r="G74" s="28"/>
      <c r="H74" s="30"/>
    </row>
    <row r="75" customFormat="false" ht="15" hidden="false" customHeight="true" outlineLevel="0" collapsed="false">
      <c r="A75" s="27"/>
      <c r="B75" s="30"/>
      <c r="C75" s="29"/>
      <c r="D75" s="20" t="n">
        <f aca="false">IFERROR(B75*C75,0)</f>
        <v>0</v>
      </c>
      <c r="E75" s="25" t="n">
        <f aca="false">IFERROR(IF(B75=0,0,D75/B75),0)</f>
        <v>0</v>
      </c>
      <c r="F75" s="28"/>
      <c r="G75" s="28"/>
      <c r="H75" s="30"/>
    </row>
    <row r="76" customFormat="false" ht="15" hidden="false" customHeight="true" outlineLevel="0" collapsed="false">
      <c r="A76" s="27"/>
      <c r="B76" s="30"/>
      <c r="C76" s="29"/>
      <c r="D76" s="20" t="n">
        <f aca="false">IFERROR(B76*C76,0)</f>
        <v>0</v>
      </c>
      <c r="E76" s="25" t="n">
        <f aca="false">IFERROR(IF(B76=0,0,D76/B76),0)</f>
        <v>0</v>
      </c>
      <c r="F76" s="28"/>
      <c r="G76" s="28"/>
      <c r="H76" s="30"/>
    </row>
    <row r="77" customFormat="false" ht="15" hidden="false" customHeight="true" outlineLevel="0" collapsed="false">
      <c r="A77" s="27"/>
      <c r="B77" s="30"/>
      <c r="C77" s="29"/>
      <c r="D77" s="20" t="n">
        <f aca="false">IFERROR(B77*C77,0)</f>
        <v>0</v>
      </c>
      <c r="E77" s="25" t="n">
        <f aca="false">IFERROR(IF(B77=0,0,D77/B77),0)</f>
        <v>0</v>
      </c>
      <c r="F77" s="28"/>
      <c r="G77" s="28"/>
      <c r="H77" s="30"/>
    </row>
    <row r="78" customFormat="false" ht="15" hidden="false" customHeight="true" outlineLevel="0" collapsed="false">
      <c r="A78" s="27"/>
      <c r="B78" s="30"/>
      <c r="C78" s="29"/>
      <c r="D78" s="20" t="n">
        <f aca="false">IFERROR(B78*C78,0)</f>
        <v>0</v>
      </c>
      <c r="E78" s="25" t="n">
        <f aca="false">IFERROR(IF(B78=0,0,D78/B78),0)</f>
        <v>0</v>
      </c>
      <c r="F78" s="28"/>
      <c r="G78" s="28"/>
      <c r="H78" s="30"/>
    </row>
    <row r="79" customFormat="false" ht="15" hidden="false" customHeight="true" outlineLevel="0" collapsed="false">
      <c r="A79" s="27"/>
      <c r="B79" s="30"/>
      <c r="C79" s="29"/>
      <c r="D79" s="20" t="n">
        <f aca="false">IFERROR(B79*C79,0)</f>
        <v>0</v>
      </c>
      <c r="E79" s="25" t="n">
        <f aca="false">IFERROR(IF(B79=0,0,D79/B79),0)</f>
        <v>0</v>
      </c>
      <c r="F79" s="28"/>
      <c r="G79" s="28"/>
      <c r="H79" s="30"/>
    </row>
    <row r="80" customFormat="false" ht="15" hidden="false" customHeight="true" outlineLevel="0" collapsed="false">
      <c r="A80" s="27"/>
      <c r="B80" s="30"/>
      <c r="C80" s="29"/>
      <c r="D80" s="20" t="n">
        <f aca="false">IFERROR(B80*C80,0)</f>
        <v>0</v>
      </c>
      <c r="E80" s="25" t="n">
        <f aca="false">IFERROR(IF(B80=0,0,D80/B80),0)</f>
        <v>0</v>
      </c>
      <c r="F80" s="28"/>
      <c r="G80" s="28"/>
      <c r="H80" s="30"/>
    </row>
    <row r="81" customFormat="false" ht="15" hidden="false" customHeight="true" outlineLevel="0" collapsed="false">
      <c r="A81" s="27"/>
      <c r="B81" s="30"/>
      <c r="C81" s="29"/>
      <c r="D81" s="20" t="n">
        <f aca="false">IFERROR(B81*C81,0)</f>
        <v>0</v>
      </c>
      <c r="E81" s="25" t="n">
        <f aca="false">IFERROR(IF(B81=0,0,D81/B81),0)</f>
        <v>0</v>
      </c>
      <c r="F81" s="28"/>
      <c r="G81" s="28"/>
      <c r="H81" s="30"/>
    </row>
    <row r="82" customFormat="false" ht="15" hidden="false" customHeight="true" outlineLevel="0" collapsed="false">
      <c r="A82" s="27"/>
      <c r="B82" s="30"/>
      <c r="C82" s="29"/>
      <c r="D82" s="20" t="n">
        <f aca="false">IFERROR(B82*C82,0)</f>
        <v>0</v>
      </c>
      <c r="E82" s="25" t="n">
        <f aca="false">IFERROR(IF(B82=0,0,D82/B82),0)</f>
        <v>0</v>
      </c>
      <c r="F82" s="28"/>
      <c r="G82" s="28"/>
      <c r="H82" s="30"/>
    </row>
    <row r="83" customFormat="false" ht="15" hidden="false" customHeight="true" outlineLevel="0" collapsed="false">
      <c r="A83" s="27"/>
      <c r="B83" s="30"/>
      <c r="C83" s="29"/>
      <c r="D83" s="20" t="n">
        <f aca="false">IFERROR(B83*C83,0)</f>
        <v>0</v>
      </c>
      <c r="E83" s="25" t="n">
        <f aca="false">IFERROR(IF(B83=0,0,D83/B83),0)</f>
        <v>0</v>
      </c>
      <c r="F83" s="28"/>
      <c r="G83" s="28"/>
      <c r="H83" s="30"/>
    </row>
    <row r="84" customFormat="false" ht="15" hidden="false" customHeight="true" outlineLevel="0" collapsed="false">
      <c r="A84" s="27"/>
      <c r="B84" s="30"/>
      <c r="C84" s="29"/>
      <c r="D84" s="20" t="n">
        <f aca="false">IFERROR(B84*C84,0)</f>
        <v>0</v>
      </c>
      <c r="E84" s="25" t="n">
        <f aca="false">IFERROR(IF(B84=0,0,D84/B84),0)</f>
        <v>0</v>
      </c>
      <c r="F84" s="28"/>
      <c r="G84" s="28"/>
      <c r="H84" s="30"/>
    </row>
    <row r="85" customFormat="false" ht="15" hidden="false" customHeight="true" outlineLevel="0" collapsed="false">
      <c r="A85" s="27"/>
      <c r="B85" s="30"/>
      <c r="C85" s="29"/>
      <c r="D85" s="20" t="n">
        <f aca="false">IFERROR(B85*C85,0)</f>
        <v>0</v>
      </c>
      <c r="E85" s="25" t="n">
        <f aca="false">IFERROR(IF(B85=0,0,D85/B85),0)</f>
        <v>0</v>
      </c>
      <c r="F85" s="28"/>
      <c r="G85" s="28"/>
      <c r="H85" s="30"/>
    </row>
    <row r="86" customFormat="false" ht="15" hidden="false" customHeight="true" outlineLevel="0" collapsed="false">
      <c r="A86" s="27"/>
      <c r="B86" s="30"/>
      <c r="C86" s="29"/>
      <c r="D86" s="20" t="n">
        <f aca="false">IFERROR(B86*C86,0)</f>
        <v>0</v>
      </c>
      <c r="E86" s="25" t="n">
        <f aca="false">IFERROR(IF(B86=0,0,D86/B86),0)</f>
        <v>0</v>
      </c>
      <c r="F86" s="28"/>
      <c r="G86" s="28"/>
      <c r="H86" s="30"/>
    </row>
    <row r="87" customFormat="false" ht="15" hidden="false" customHeight="true" outlineLevel="0" collapsed="false">
      <c r="A87" s="27"/>
      <c r="B87" s="30"/>
      <c r="C87" s="29"/>
      <c r="D87" s="20" t="n">
        <f aca="false">IFERROR(B87*C87,0)</f>
        <v>0</v>
      </c>
      <c r="E87" s="25" t="n">
        <f aca="false">IFERROR(IF(B87=0,0,D87/B87),0)</f>
        <v>0</v>
      </c>
      <c r="F87" s="28"/>
      <c r="G87" s="28"/>
      <c r="H87" s="30"/>
    </row>
    <row r="88" customFormat="false" ht="15" hidden="false" customHeight="true" outlineLevel="0" collapsed="false">
      <c r="A88" s="27"/>
      <c r="B88" s="30"/>
      <c r="C88" s="29"/>
      <c r="D88" s="20" t="n">
        <f aca="false">IFERROR(B88*C88,0)</f>
        <v>0</v>
      </c>
      <c r="E88" s="25" t="n">
        <f aca="false">IFERROR(IF(B88=0,0,D88/B88),0)</f>
        <v>0</v>
      </c>
      <c r="F88" s="28"/>
      <c r="G88" s="28"/>
      <c r="H88" s="30"/>
    </row>
    <row r="89" customFormat="false" ht="15" hidden="false" customHeight="true" outlineLevel="0" collapsed="false">
      <c r="A89" s="27"/>
      <c r="B89" s="30"/>
      <c r="C89" s="29"/>
      <c r="D89" s="20" t="n">
        <f aca="false">IFERROR(B89*C89,0)</f>
        <v>0</v>
      </c>
      <c r="E89" s="25" t="n">
        <f aca="false">IFERROR(IF(B89=0,0,D89/B89),0)</f>
        <v>0</v>
      </c>
      <c r="F89" s="28"/>
      <c r="G89" s="28"/>
      <c r="H89" s="30"/>
    </row>
    <row r="90" customFormat="false" ht="15" hidden="false" customHeight="true" outlineLevel="0" collapsed="false">
      <c r="A90" s="27"/>
      <c r="B90" s="30"/>
      <c r="C90" s="29"/>
      <c r="D90" s="20" t="n">
        <f aca="false">IFERROR(B90*C90,0)</f>
        <v>0</v>
      </c>
      <c r="E90" s="25" t="n">
        <f aca="false">IFERROR(IF(B90=0,0,D90/B90),0)</f>
        <v>0</v>
      </c>
      <c r="F90" s="28"/>
      <c r="G90" s="28"/>
      <c r="H90" s="30"/>
    </row>
    <row r="91" customFormat="false" ht="15" hidden="false" customHeight="true" outlineLevel="0" collapsed="false">
      <c r="A91" s="27"/>
      <c r="B91" s="30"/>
      <c r="C91" s="29"/>
      <c r="D91" s="20" t="n">
        <f aca="false">IFERROR(B91*C91,0)</f>
        <v>0</v>
      </c>
      <c r="E91" s="25" t="n">
        <f aca="false">IFERROR(IF(B91=0,0,D91/B91),0)</f>
        <v>0</v>
      </c>
      <c r="F91" s="28"/>
      <c r="G91" s="28"/>
      <c r="H91" s="30"/>
    </row>
    <row r="92" customFormat="false" ht="15" hidden="false" customHeight="true" outlineLevel="0" collapsed="false">
      <c r="A92" s="27"/>
      <c r="B92" s="30"/>
      <c r="C92" s="29"/>
      <c r="D92" s="20" t="n">
        <f aca="false">IFERROR(B92*C92,0)</f>
        <v>0</v>
      </c>
      <c r="E92" s="25" t="n">
        <f aca="false">IFERROR(IF(B92=0,0,D92/B92),0)</f>
        <v>0</v>
      </c>
      <c r="F92" s="28"/>
      <c r="G92" s="28"/>
      <c r="H92" s="30"/>
    </row>
    <row r="93" customFormat="false" ht="15" hidden="false" customHeight="true" outlineLevel="0" collapsed="false">
      <c r="A93" s="27"/>
      <c r="B93" s="30"/>
      <c r="C93" s="29"/>
      <c r="D93" s="20" t="n">
        <f aca="false">IFERROR(B93*C93,0)</f>
        <v>0</v>
      </c>
      <c r="E93" s="25" t="n">
        <f aca="false">IFERROR(IF(B93=0,0,D93/B93),0)</f>
        <v>0</v>
      </c>
      <c r="F93" s="28"/>
      <c r="G93" s="28"/>
      <c r="H93" s="30"/>
    </row>
    <row r="94" customFormat="false" ht="15" hidden="false" customHeight="true" outlineLevel="0" collapsed="false">
      <c r="A94" s="27"/>
      <c r="B94" s="30"/>
      <c r="C94" s="29"/>
      <c r="D94" s="20" t="n">
        <f aca="false">IFERROR(B94*C94,0)</f>
        <v>0</v>
      </c>
      <c r="E94" s="25" t="n">
        <f aca="false">IFERROR(IF(B94=0,0,D94/B94),0)</f>
        <v>0</v>
      </c>
      <c r="F94" s="28"/>
      <c r="G94" s="28"/>
      <c r="H94" s="30"/>
    </row>
    <row r="95" customFormat="false" ht="15" hidden="false" customHeight="true" outlineLevel="0" collapsed="false">
      <c r="A95" s="27"/>
      <c r="B95" s="30"/>
      <c r="C95" s="29"/>
      <c r="D95" s="20" t="n">
        <f aca="false">IFERROR(B95*C95,0)</f>
        <v>0</v>
      </c>
      <c r="E95" s="25" t="n">
        <f aca="false">IFERROR(IF(B95=0,0,D95/B95),0)</f>
        <v>0</v>
      </c>
      <c r="F95" s="28"/>
      <c r="G95" s="28"/>
      <c r="H95" s="30"/>
    </row>
    <row r="96" customFormat="false" ht="15" hidden="false" customHeight="true" outlineLevel="0" collapsed="false">
      <c r="A96" s="27"/>
      <c r="B96" s="30"/>
      <c r="C96" s="29"/>
      <c r="D96" s="20" t="n">
        <f aca="false">IFERROR(B96*C96,0)</f>
        <v>0</v>
      </c>
      <c r="E96" s="25" t="n">
        <f aca="false">IFERROR(IF(B96=0,0,D96/B96),0)</f>
        <v>0</v>
      </c>
      <c r="F96" s="28"/>
      <c r="G96" s="28"/>
      <c r="H96" s="30"/>
    </row>
    <row r="97" customFormat="false" ht="15" hidden="false" customHeight="true" outlineLevel="0" collapsed="false">
      <c r="A97" s="27"/>
      <c r="B97" s="30"/>
      <c r="C97" s="29"/>
      <c r="D97" s="20" t="n">
        <f aca="false">IFERROR(B97*C97,0)</f>
        <v>0</v>
      </c>
      <c r="E97" s="25" t="n">
        <f aca="false">IFERROR(IF(B97=0,0,D97/B97),0)</f>
        <v>0</v>
      </c>
      <c r="F97" s="28"/>
      <c r="G97" s="28"/>
      <c r="H97" s="30"/>
    </row>
    <row r="98" customFormat="false" ht="15" hidden="false" customHeight="true" outlineLevel="0" collapsed="false">
      <c r="A98" s="27"/>
      <c r="B98" s="30"/>
      <c r="C98" s="29"/>
      <c r="D98" s="20" t="n">
        <f aca="false">IFERROR(B98*C98,0)</f>
        <v>0</v>
      </c>
      <c r="E98" s="25" t="n">
        <f aca="false">IFERROR(IF(B98=0,0,D98/B98),0)</f>
        <v>0</v>
      </c>
      <c r="F98" s="28"/>
      <c r="G98" s="28"/>
      <c r="H98" s="30"/>
    </row>
    <row r="99" customFormat="false" ht="15" hidden="false" customHeight="true" outlineLevel="0" collapsed="false">
      <c r="A99" s="27"/>
      <c r="B99" s="30"/>
      <c r="C99" s="29"/>
      <c r="D99" s="20" t="n">
        <f aca="false">IFERROR(B99*C99,0)</f>
        <v>0</v>
      </c>
      <c r="E99" s="25" t="n">
        <f aca="false">IFERROR(IF(B99=0,0,D99/B99),0)</f>
        <v>0</v>
      </c>
      <c r="F99" s="28"/>
      <c r="G99" s="28"/>
      <c r="H99" s="30"/>
    </row>
    <row r="100" customFormat="false" ht="15" hidden="false" customHeight="true" outlineLevel="0" collapsed="false">
      <c r="A100" s="27"/>
      <c r="B100" s="30"/>
      <c r="C100" s="29"/>
      <c r="D100" s="20" t="n">
        <f aca="false">IFERROR(B100*C100,0)</f>
        <v>0</v>
      </c>
      <c r="E100" s="25" t="n">
        <f aca="false">IFERROR(IF(B100=0,0,D100/B100),0)</f>
        <v>0</v>
      </c>
      <c r="F100" s="28"/>
      <c r="G100" s="28"/>
      <c r="H100" s="30"/>
    </row>
    <row r="101" customFormat="false" ht="15" hidden="false" customHeight="true" outlineLevel="0" collapsed="false">
      <c r="A101" s="27"/>
      <c r="B101" s="30"/>
      <c r="C101" s="29"/>
      <c r="D101" s="20" t="n">
        <f aca="false">IFERROR(B101*C101,0)</f>
        <v>0</v>
      </c>
      <c r="E101" s="25" t="n">
        <f aca="false">IFERROR(IF(B101=0,0,D101/B101),0)</f>
        <v>0</v>
      </c>
      <c r="F101" s="28"/>
      <c r="G101" s="28"/>
      <c r="H101" s="30"/>
    </row>
    <row r="102" customFormat="false" ht="15" hidden="false" customHeight="true" outlineLevel="0" collapsed="false">
      <c r="A102" s="27"/>
      <c r="B102" s="30"/>
      <c r="C102" s="29"/>
      <c r="D102" s="20" t="n">
        <f aca="false">IFERROR(B102*C102,0)</f>
        <v>0</v>
      </c>
      <c r="E102" s="25" t="n">
        <f aca="false">IFERROR(IF(B102=0,0,D102/B102),0)</f>
        <v>0</v>
      </c>
      <c r="F102" s="28"/>
      <c r="G102" s="28"/>
      <c r="H102" s="30"/>
    </row>
    <row r="103" customFormat="false" ht="15" hidden="false" customHeight="true" outlineLevel="0" collapsed="false">
      <c r="A103" s="27"/>
      <c r="B103" s="30"/>
      <c r="C103" s="29"/>
      <c r="D103" s="20" t="n">
        <f aca="false">IFERROR(B103*C103,0)</f>
        <v>0</v>
      </c>
      <c r="E103" s="25" t="n">
        <f aca="false">IFERROR(IF(B103=0,0,D103/B103),0)</f>
        <v>0</v>
      </c>
      <c r="F103" s="28"/>
      <c r="G103" s="28"/>
      <c r="H103" s="30"/>
    </row>
    <row r="104" customFormat="false" ht="15" hidden="false" customHeight="true" outlineLevel="0" collapsed="false">
      <c r="A104" s="27"/>
      <c r="B104" s="30"/>
      <c r="C104" s="29"/>
      <c r="D104" s="20" t="n">
        <f aca="false">IFERROR(B104*C104,0)</f>
        <v>0</v>
      </c>
      <c r="E104" s="25" t="n">
        <f aca="false">IFERROR(IF(B104=0,0,D104/B104),0)</f>
        <v>0</v>
      </c>
      <c r="F104" s="28"/>
      <c r="G104" s="28"/>
      <c r="H104" s="30"/>
    </row>
    <row r="105" customFormat="false" ht="15" hidden="false" customHeight="true" outlineLevel="0" collapsed="false">
      <c r="A105" s="27"/>
      <c r="B105" s="30"/>
      <c r="C105" s="29"/>
      <c r="D105" s="20" t="n">
        <f aca="false">IFERROR(B105*C105,0)</f>
        <v>0</v>
      </c>
      <c r="E105" s="25" t="n">
        <f aca="false">IFERROR(IF(B105=0,0,D105/B105),0)</f>
        <v>0</v>
      </c>
      <c r="F105" s="28"/>
      <c r="G105" s="28"/>
      <c r="H105" s="30"/>
    </row>
    <row r="106" customFormat="false" ht="15" hidden="false" customHeight="true" outlineLevel="0" collapsed="false">
      <c r="A106" s="27"/>
      <c r="B106" s="30"/>
      <c r="C106" s="29"/>
      <c r="D106" s="20" t="n">
        <f aca="false">IFERROR(B106*C106,0)</f>
        <v>0</v>
      </c>
      <c r="E106" s="25" t="n">
        <f aca="false">IFERROR(IF(B106=0,0,D106/B106),0)</f>
        <v>0</v>
      </c>
      <c r="F106" s="28"/>
      <c r="G106" s="28"/>
      <c r="H106" s="30"/>
    </row>
    <row r="107" customFormat="false" ht="15" hidden="false" customHeight="true" outlineLevel="0" collapsed="false">
      <c r="A107" s="27"/>
      <c r="B107" s="30"/>
      <c r="C107" s="29"/>
      <c r="D107" s="20" t="n">
        <f aca="false">IFERROR(B107*C107,0)</f>
        <v>0</v>
      </c>
      <c r="E107" s="25" t="n">
        <f aca="false">IFERROR(IF(B107=0,0,D107/B107),0)</f>
        <v>0</v>
      </c>
      <c r="F107" s="28"/>
      <c r="G107" s="28"/>
      <c r="H107" s="30"/>
    </row>
    <row r="108" customFormat="false" ht="15" hidden="false" customHeight="true" outlineLevel="0" collapsed="false">
      <c r="A108" s="27"/>
      <c r="B108" s="30"/>
      <c r="C108" s="29"/>
      <c r="D108" s="20" t="n">
        <f aca="false">IFERROR(B108*C108,0)</f>
        <v>0</v>
      </c>
      <c r="E108" s="25" t="n">
        <f aca="false">IFERROR(IF(B108=0,0,D108/B108),0)</f>
        <v>0</v>
      </c>
      <c r="F108" s="28"/>
      <c r="G108" s="28"/>
      <c r="H108" s="30"/>
    </row>
    <row r="109" customFormat="false" ht="15" hidden="false" customHeight="true" outlineLevel="0" collapsed="false">
      <c r="A109" s="27"/>
      <c r="B109" s="30"/>
      <c r="C109" s="29"/>
      <c r="D109" s="20" t="n">
        <f aca="false">IFERROR(B109*C109,0)</f>
        <v>0</v>
      </c>
      <c r="E109" s="25" t="n">
        <f aca="false">IFERROR(IF(B109=0,0,D109/B109),0)</f>
        <v>0</v>
      </c>
      <c r="F109" s="28"/>
      <c r="G109" s="28"/>
      <c r="H109" s="30"/>
    </row>
    <row r="110" customFormat="false" ht="15" hidden="false" customHeight="true" outlineLevel="0" collapsed="false">
      <c r="A110" s="27"/>
      <c r="B110" s="30"/>
      <c r="C110" s="29"/>
      <c r="D110" s="20" t="n">
        <f aca="false">IFERROR(B110*C110,0)</f>
        <v>0</v>
      </c>
      <c r="E110" s="25" t="n">
        <f aca="false">IFERROR(IF(B110=0,0,D110/B110),0)</f>
        <v>0</v>
      </c>
      <c r="F110" s="28"/>
      <c r="G110" s="28"/>
      <c r="H110" s="30"/>
    </row>
    <row r="111" customFormat="false" ht="15" hidden="false" customHeight="true" outlineLevel="0" collapsed="false">
      <c r="A111" s="27"/>
      <c r="B111" s="30"/>
      <c r="C111" s="29"/>
      <c r="D111" s="20" t="n">
        <f aca="false">IFERROR(B111*C111,0)</f>
        <v>0</v>
      </c>
      <c r="E111" s="25" t="n">
        <f aca="false">IFERROR(IF(B111=0,0,D111/B111),0)</f>
        <v>0</v>
      </c>
      <c r="F111" s="28"/>
      <c r="G111" s="28"/>
      <c r="H111" s="30"/>
    </row>
    <row r="112" customFormat="false" ht="15" hidden="false" customHeight="true" outlineLevel="0" collapsed="false">
      <c r="A112" s="27"/>
      <c r="B112" s="30"/>
      <c r="C112" s="29"/>
      <c r="D112" s="20" t="n">
        <f aca="false">IFERROR(B112*C112,0)</f>
        <v>0</v>
      </c>
      <c r="E112" s="25" t="n">
        <f aca="false">IFERROR(IF(B112=0,0,D112/B112),0)</f>
        <v>0</v>
      </c>
      <c r="F112" s="28"/>
      <c r="G112" s="28"/>
      <c r="H112" s="30"/>
    </row>
    <row r="113" customFormat="false" ht="15" hidden="false" customHeight="true" outlineLevel="0" collapsed="false">
      <c r="A113" s="27"/>
      <c r="B113" s="30"/>
      <c r="C113" s="29"/>
      <c r="D113" s="20" t="n">
        <f aca="false">IFERROR(B113*C113,0)</f>
        <v>0</v>
      </c>
      <c r="E113" s="25" t="n">
        <f aca="false">IFERROR(IF(B113=0,0,D113/B113),0)</f>
        <v>0</v>
      </c>
      <c r="F113" s="28"/>
      <c r="G113" s="28"/>
      <c r="H113" s="30"/>
    </row>
    <row r="114" customFormat="false" ht="15" hidden="false" customHeight="true" outlineLevel="0" collapsed="false">
      <c r="A114" s="27"/>
      <c r="B114" s="30"/>
      <c r="C114" s="29"/>
      <c r="D114" s="20" t="n">
        <f aca="false">IFERROR(B114*C114,0)</f>
        <v>0</v>
      </c>
      <c r="E114" s="25" t="n">
        <f aca="false">IFERROR(IF(B114=0,0,D114/B114),0)</f>
        <v>0</v>
      </c>
      <c r="F114" s="28"/>
      <c r="G114" s="28"/>
      <c r="H114" s="30"/>
    </row>
    <row r="115" customFormat="false" ht="15" hidden="false" customHeight="true" outlineLevel="0" collapsed="false">
      <c r="A115" s="27"/>
      <c r="B115" s="30"/>
      <c r="C115" s="29"/>
      <c r="D115" s="20" t="n">
        <f aca="false">IFERROR(B115*C115,0)</f>
        <v>0</v>
      </c>
      <c r="E115" s="25" t="n">
        <f aca="false">IFERROR(IF(B115=0,0,D115/B115),0)</f>
        <v>0</v>
      </c>
      <c r="F115" s="28"/>
      <c r="G115" s="28"/>
      <c r="H115" s="30"/>
    </row>
    <row r="116" customFormat="false" ht="15" hidden="false" customHeight="true" outlineLevel="0" collapsed="false">
      <c r="A116" s="27"/>
      <c r="B116" s="30"/>
      <c r="C116" s="29"/>
      <c r="D116" s="20" t="n">
        <f aca="false">IFERROR(B116*C116,0)</f>
        <v>0</v>
      </c>
      <c r="E116" s="25" t="n">
        <f aca="false">IFERROR(IF(B116=0,0,D116/B116),0)</f>
        <v>0</v>
      </c>
      <c r="F116" s="28"/>
      <c r="G116" s="28"/>
      <c r="H116" s="30"/>
    </row>
    <row r="117" customFormat="false" ht="15" hidden="false" customHeight="true" outlineLevel="0" collapsed="false">
      <c r="A117" s="27"/>
      <c r="B117" s="30"/>
      <c r="C117" s="29"/>
      <c r="D117" s="20" t="n">
        <f aca="false">IFERROR(B117*C117,0)</f>
        <v>0</v>
      </c>
      <c r="E117" s="25" t="n">
        <f aca="false">IFERROR(IF(B117=0,0,D117/B117),0)</f>
        <v>0</v>
      </c>
      <c r="F117" s="28"/>
      <c r="G117" s="28"/>
      <c r="H117" s="30"/>
    </row>
    <row r="118" customFormat="false" ht="15" hidden="false" customHeight="true" outlineLevel="0" collapsed="false">
      <c r="A118" s="27"/>
      <c r="B118" s="30"/>
      <c r="C118" s="29"/>
      <c r="D118" s="20" t="n">
        <f aca="false">IFERROR(B118*C118,0)</f>
        <v>0</v>
      </c>
      <c r="E118" s="25" t="n">
        <f aca="false">IFERROR(IF(B118=0,0,D118/B118),0)</f>
        <v>0</v>
      </c>
      <c r="F118" s="28"/>
      <c r="G118" s="28"/>
      <c r="H118" s="30"/>
    </row>
    <row r="119" customFormat="false" ht="15" hidden="false" customHeight="true" outlineLevel="0" collapsed="false">
      <c r="A119" s="27"/>
      <c r="B119" s="30"/>
      <c r="C119" s="29"/>
      <c r="D119" s="20" t="n">
        <f aca="false">IFERROR(B119*C119,0)</f>
        <v>0</v>
      </c>
      <c r="E119" s="25" t="n">
        <f aca="false">IFERROR(IF(B119=0,0,D119/B119),0)</f>
        <v>0</v>
      </c>
      <c r="F119" s="28"/>
      <c r="G119" s="28"/>
      <c r="H119" s="30"/>
    </row>
    <row r="120" customFormat="false" ht="15" hidden="false" customHeight="true" outlineLevel="0" collapsed="false">
      <c r="A120" s="27"/>
      <c r="B120" s="30"/>
      <c r="C120" s="29"/>
      <c r="D120" s="20" t="n">
        <f aca="false">IFERROR(B120*C120,0)</f>
        <v>0</v>
      </c>
      <c r="E120" s="25" t="n">
        <f aca="false">IFERROR(IF(B120=0,0,D120/B120),0)</f>
        <v>0</v>
      </c>
      <c r="F120" s="28"/>
      <c r="G120" s="28"/>
      <c r="H120" s="30"/>
    </row>
    <row r="121" customFormat="false" ht="15" hidden="false" customHeight="true" outlineLevel="0" collapsed="false">
      <c r="A121" s="27"/>
      <c r="B121" s="30"/>
      <c r="C121" s="29"/>
      <c r="D121" s="20" t="n">
        <f aca="false">IFERROR(B121*C121,0)</f>
        <v>0</v>
      </c>
      <c r="E121" s="25" t="n">
        <f aca="false">IFERROR(IF(B121=0,0,D121/B121),0)</f>
        <v>0</v>
      </c>
      <c r="F121" s="28"/>
      <c r="G121" s="28"/>
      <c r="H121" s="30"/>
    </row>
    <row r="122" customFormat="false" ht="15" hidden="false" customHeight="true" outlineLevel="0" collapsed="false">
      <c r="A122" s="27"/>
      <c r="B122" s="30"/>
      <c r="C122" s="29"/>
      <c r="D122" s="20" t="n">
        <f aca="false">IFERROR(B122*C122,0)</f>
        <v>0</v>
      </c>
      <c r="E122" s="25" t="n">
        <f aca="false">IFERROR(IF(B122=0,0,D122/B122),0)</f>
        <v>0</v>
      </c>
      <c r="F122" s="28"/>
      <c r="G122" s="28"/>
      <c r="H122" s="30"/>
    </row>
    <row r="123" customFormat="false" ht="15" hidden="false" customHeight="true" outlineLevel="0" collapsed="false">
      <c r="A123" s="27"/>
      <c r="B123" s="30"/>
      <c r="C123" s="29"/>
      <c r="D123" s="20" t="n">
        <f aca="false">IFERROR(B123*C123,0)</f>
        <v>0</v>
      </c>
      <c r="E123" s="25" t="n">
        <f aca="false">IFERROR(IF(B123=0,0,D123/B123),0)</f>
        <v>0</v>
      </c>
      <c r="F123" s="28"/>
      <c r="G123" s="28"/>
      <c r="H123" s="30"/>
    </row>
    <row r="124" customFormat="false" ht="15" hidden="false" customHeight="true" outlineLevel="0" collapsed="false">
      <c r="A124" s="27"/>
      <c r="B124" s="30"/>
      <c r="C124" s="29"/>
      <c r="D124" s="20" t="n">
        <f aca="false">IFERROR(B124*C124,0)</f>
        <v>0</v>
      </c>
      <c r="E124" s="25" t="n">
        <f aca="false">IFERROR(IF(B124=0,0,D124/B124),0)</f>
        <v>0</v>
      </c>
      <c r="F124" s="28"/>
      <c r="G124" s="28"/>
      <c r="H124" s="30"/>
    </row>
    <row r="125" customFormat="false" ht="15" hidden="false" customHeight="true" outlineLevel="0" collapsed="false">
      <c r="A125" s="27"/>
      <c r="B125" s="30"/>
      <c r="C125" s="29"/>
      <c r="D125" s="20" t="n">
        <f aca="false">IFERROR(B125*C125,0)</f>
        <v>0</v>
      </c>
      <c r="E125" s="25" t="n">
        <f aca="false">IFERROR(IF(B125=0,0,D125/B125),0)</f>
        <v>0</v>
      </c>
      <c r="F125" s="28"/>
      <c r="G125" s="28"/>
      <c r="H125" s="30"/>
    </row>
    <row r="126" customFormat="false" ht="15" hidden="false" customHeight="true" outlineLevel="0" collapsed="false">
      <c r="A126" s="27"/>
      <c r="B126" s="30"/>
      <c r="C126" s="29"/>
      <c r="D126" s="20" t="n">
        <f aca="false">IFERROR(B126*C126,0)</f>
        <v>0</v>
      </c>
      <c r="E126" s="25" t="n">
        <f aca="false">IFERROR(IF(B126=0,0,D126/B126),0)</f>
        <v>0</v>
      </c>
      <c r="F126" s="28"/>
      <c r="G126" s="28"/>
      <c r="H126" s="30"/>
    </row>
    <row r="127" customFormat="false" ht="15" hidden="false" customHeight="true" outlineLevel="0" collapsed="false">
      <c r="A127" s="27"/>
      <c r="B127" s="30"/>
      <c r="C127" s="29"/>
      <c r="D127" s="20" t="n">
        <f aca="false">IFERROR(B127*C127,0)</f>
        <v>0</v>
      </c>
      <c r="E127" s="25" t="n">
        <f aca="false">IFERROR(IF(B127=0,0,D127/B127),0)</f>
        <v>0</v>
      </c>
      <c r="F127" s="28"/>
      <c r="G127" s="28"/>
      <c r="H127" s="30"/>
    </row>
    <row r="128" customFormat="false" ht="15" hidden="false" customHeight="true" outlineLevel="0" collapsed="false">
      <c r="A128" s="27"/>
      <c r="B128" s="30"/>
      <c r="C128" s="29"/>
      <c r="D128" s="20" t="n">
        <f aca="false">IFERROR(B128*C128,0)</f>
        <v>0</v>
      </c>
      <c r="E128" s="25" t="n">
        <f aca="false">IFERROR(IF(B128=0,0,D128/B128),0)</f>
        <v>0</v>
      </c>
      <c r="F128" s="28"/>
      <c r="G128" s="28"/>
      <c r="H128" s="30"/>
    </row>
    <row r="129" customFormat="false" ht="15" hidden="false" customHeight="true" outlineLevel="0" collapsed="false">
      <c r="A129" s="27"/>
      <c r="B129" s="30"/>
      <c r="C129" s="29"/>
      <c r="D129" s="20" t="n">
        <f aca="false">IFERROR(B129*C129,0)</f>
        <v>0</v>
      </c>
      <c r="E129" s="25" t="n">
        <f aca="false">IFERROR(IF(B129=0,0,D129/B129),0)</f>
        <v>0</v>
      </c>
      <c r="F129" s="28"/>
      <c r="G129" s="28"/>
      <c r="H129" s="30"/>
    </row>
    <row r="130" customFormat="false" ht="15" hidden="false" customHeight="true" outlineLevel="0" collapsed="false">
      <c r="A130" s="27"/>
      <c r="B130" s="30"/>
      <c r="C130" s="29"/>
      <c r="D130" s="20" t="n">
        <f aca="false">IFERROR(B130*C130,0)</f>
        <v>0</v>
      </c>
      <c r="E130" s="25" t="n">
        <f aca="false">IFERROR(IF(B130=0,0,D130/B130),0)</f>
        <v>0</v>
      </c>
      <c r="F130" s="28"/>
      <c r="G130" s="28"/>
      <c r="H130" s="30"/>
    </row>
    <row r="131" customFormat="false" ht="15" hidden="false" customHeight="true" outlineLevel="0" collapsed="false">
      <c r="A131" s="27"/>
      <c r="B131" s="30"/>
      <c r="C131" s="29"/>
      <c r="D131" s="20" t="n">
        <f aca="false">IFERROR(B131*C131,0)</f>
        <v>0</v>
      </c>
      <c r="E131" s="25" t="n">
        <f aca="false">IFERROR(IF(B131=0,0,D131/B131),0)</f>
        <v>0</v>
      </c>
      <c r="F131" s="28"/>
      <c r="G131" s="28"/>
      <c r="H131" s="30"/>
    </row>
    <row r="132" customFormat="false" ht="15" hidden="false" customHeight="true" outlineLevel="0" collapsed="false">
      <c r="A132" s="27"/>
      <c r="B132" s="30"/>
      <c r="C132" s="29"/>
      <c r="D132" s="20" t="n">
        <f aca="false">IFERROR(B132*C132,0)</f>
        <v>0</v>
      </c>
      <c r="E132" s="25" t="n">
        <f aca="false">IFERROR(IF(B132=0,0,D132/B132),0)</f>
        <v>0</v>
      </c>
      <c r="F132" s="28"/>
      <c r="G132" s="28"/>
      <c r="H132" s="30"/>
    </row>
    <row r="133" customFormat="false" ht="15" hidden="false" customHeight="true" outlineLevel="0" collapsed="false">
      <c r="A133" s="27"/>
      <c r="B133" s="30"/>
      <c r="C133" s="29"/>
      <c r="D133" s="20" t="n">
        <f aca="false">IFERROR(B133*C133,0)</f>
        <v>0</v>
      </c>
      <c r="E133" s="25" t="n">
        <f aca="false">IFERROR(IF(B133=0,0,D133/B133),0)</f>
        <v>0</v>
      </c>
      <c r="F133" s="28"/>
      <c r="G133" s="28"/>
      <c r="H133" s="30"/>
    </row>
    <row r="134" customFormat="false" ht="15" hidden="false" customHeight="true" outlineLevel="0" collapsed="false">
      <c r="A134" s="27"/>
      <c r="B134" s="30"/>
      <c r="C134" s="29"/>
      <c r="D134" s="20" t="n">
        <f aca="false">IFERROR(B134*C134,0)</f>
        <v>0</v>
      </c>
      <c r="E134" s="25" t="n">
        <f aca="false">IFERROR(IF(B134=0,0,D134/B134),0)</f>
        <v>0</v>
      </c>
      <c r="F134" s="28"/>
      <c r="G134" s="28"/>
      <c r="H134" s="30"/>
    </row>
    <row r="135" customFormat="false" ht="15" hidden="false" customHeight="true" outlineLevel="0" collapsed="false">
      <c r="A135" s="27"/>
      <c r="B135" s="30"/>
      <c r="C135" s="29"/>
      <c r="D135" s="20" t="n">
        <f aca="false">IFERROR(B135*C135,0)</f>
        <v>0</v>
      </c>
      <c r="E135" s="25" t="n">
        <f aca="false">IFERROR(IF(B135=0,0,D135/B135),0)</f>
        <v>0</v>
      </c>
      <c r="F135" s="28"/>
      <c r="G135" s="28"/>
      <c r="H135" s="30"/>
    </row>
    <row r="136" customFormat="false" ht="15" hidden="false" customHeight="true" outlineLevel="0" collapsed="false">
      <c r="A136" s="27"/>
      <c r="B136" s="30"/>
      <c r="C136" s="29"/>
      <c r="D136" s="20" t="n">
        <f aca="false">IFERROR(B136*C136,0)</f>
        <v>0</v>
      </c>
      <c r="E136" s="25" t="n">
        <f aca="false">IFERROR(IF(B136=0,0,D136/B136),0)</f>
        <v>0</v>
      </c>
      <c r="F136" s="28"/>
      <c r="G136" s="28"/>
      <c r="H136" s="30"/>
    </row>
    <row r="137" customFormat="false" ht="15" hidden="false" customHeight="true" outlineLevel="0" collapsed="false">
      <c r="A137" s="27"/>
      <c r="B137" s="30"/>
      <c r="C137" s="29"/>
      <c r="D137" s="20" t="n">
        <f aca="false">IFERROR(B137*C137,0)</f>
        <v>0</v>
      </c>
      <c r="E137" s="25" t="n">
        <f aca="false">IFERROR(IF(B137=0,0,D137/B137),0)</f>
        <v>0</v>
      </c>
      <c r="F137" s="28"/>
      <c r="G137" s="28"/>
      <c r="H137" s="30"/>
    </row>
    <row r="138" customFormat="false" ht="15" hidden="false" customHeight="true" outlineLevel="0" collapsed="false">
      <c r="A138" s="27"/>
      <c r="B138" s="30"/>
      <c r="C138" s="29"/>
      <c r="D138" s="20" t="n">
        <f aca="false">IFERROR(B138*C138,0)</f>
        <v>0</v>
      </c>
      <c r="E138" s="25" t="n">
        <f aca="false">IFERROR(IF(B138=0,0,D138/B138),0)</f>
        <v>0</v>
      </c>
      <c r="F138" s="28"/>
      <c r="G138" s="28"/>
      <c r="H138" s="30"/>
    </row>
    <row r="139" customFormat="false" ht="15" hidden="false" customHeight="true" outlineLevel="0" collapsed="false">
      <c r="A139" s="27"/>
      <c r="B139" s="30"/>
      <c r="C139" s="29"/>
      <c r="D139" s="20" t="n">
        <f aca="false">IFERROR(B139*C139,0)</f>
        <v>0</v>
      </c>
      <c r="E139" s="25" t="n">
        <f aca="false">IFERROR(IF(B139=0,0,D139/B139),0)</f>
        <v>0</v>
      </c>
      <c r="F139" s="28"/>
      <c r="G139" s="28"/>
      <c r="H139" s="30"/>
    </row>
    <row r="140" customFormat="false" ht="15" hidden="false" customHeight="true" outlineLevel="0" collapsed="false">
      <c r="A140" s="27"/>
      <c r="B140" s="30"/>
      <c r="C140" s="29"/>
      <c r="D140" s="20" t="n">
        <f aca="false">IFERROR(B140*C140,0)</f>
        <v>0</v>
      </c>
      <c r="E140" s="25" t="n">
        <f aca="false">IFERROR(IF(B140=0,0,D140/B140),0)</f>
        <v>0</v>
      </c>
      <c r="F140" s="28"/>
      <c r="G140" s="28"/>
      <c r="H140" s="30"/>
    </row>
    <row r="141" customFormat="false" ht="15" hidden="false" customHeight="true" outlineLevel="0" collapsed="false">
      <c r="A141" s="27"/>
      <c r="B141" s="30"/>
      <c r="C141" s="29"/>
      <c r="D141" s="20" t="n">
        <f aca="false">IFERROR(B141*C141,0)</f>
        <v>0</v>
      </c>
      <c r="E141" s="25" t="n">
        <f aca="false">IFERROR(IF(B141=0,0,D141/B141),0)</f>
        <v>0</v>
      </c>
      <c r="F141" s="28"/>
      <c r="G141" s="28"/>
      <c r="H141" s="30"/>
    </row>
    <row r="142" customFormat="false" ht="15" hidden="false" customHeight="true" outlineLevel="0" collapsed="false">
      <c r="A142" s="27"/>
      <c r="B142" s="30"/>
      <c r="C142" s="29"/>
      <c r="D142" s="20" t="n">
        <f aca="false">IFERROR(B142*C142,0)</f>
        <v>0</v>
      </c>
      <c r="E142" s="25" t="n">
        <f aca="false">IFERROR(IF(B142=0,0,D142/B142),0)</f>
        <v>0</v>
      </c>
      <c r="F142" s="28"/>
      <c r="G142" s="28"/>
      <c r="H142" s="30"/>
    </row>
    <row r="143" customFormat="false" ht="15" hidden="false" customHeight="true" outlineLevel="0" collapsed="false">
      <c r="A143" s="27"/>
      <c r="B143" s="30"/>
      <c r="C143" s="29"/>
      <c r="D143" s="20" t="n">
        <f aca="false">IFERROR(B143*C143,0)</f>
        <v>0</v>
      </c>
      <c r="E143" s="25" t="n">
        <f aca="false">IFERROR(IF(B143=0,0,D143/B143),0)</f>
        <v>0</v>
      </c>
      <c r="F143" s="28"/>
      <c r="G143" s="28"/>
      <c r="H143" s="30"/>
    </row>
    <row r="144" customFormat="false" ht="15" hidden="false" customHeight="true" outlineLevel="0" collapsed="false">
      <c r="A144" s="27"/>
      <c r="B144" s="30"/>
      <c r="C144" s="29"/>
      <c r="D144" s="20" t="n">
        <f aca="false">IFERROR(B144*C144,0)</f>
        <v>0</v>
      </c>
      <c r="E144" s="25" t="n">
        <f aca="false">IFERROR(IF(B144=0,0,D144/B144),0)</f>
        <v>0</v>
      </c>
      <c r="F144" s="28"/>
      <c r="G144" s="28"/>
      <c r="H144" s="30"/>
    </row>
    <row r="145" customFormat="false" ht="15" hidden="false" customHeight="true" outlineLevel="0" collapsed="false">
      <c r="A145" s="27"/>
      <c r="B145" s="30"/>
      <c r="C145" s="29"/>
      <c r="D145" s="20" t="n">
        <f aca="false">IFERROR(B145*C145,0)</f>
        <v>0</v>
      </c>
      <c r="E145" s="25" t="n">
        <f aca="false">IFERROR(IF(B145=0,0,D145/B145),0)</f>
        <v>0</v>
      </c>
      <c r="F145" s="28"/>
      <c r="G145" s="28"/>
      <c r="H145" s="30"/>
    </row>
    <row r="146" customFormat="false" ht="15" hidden="false" customHeight="true" outlineLevel="0" collapsed="false">
      <c r="A146" s="27"/>
      <c r="B146" s="30"/>
      <c r="C146" s="29"/>
      <c r="D146" s="20" t="n">
        <f aca="false">IFERROR(B146*C146,0)</f>
        <v>0</v>
      </c>
      <c r="E146" s="25" t="n">
        <f aca="false">IFERROR(IF(B146=0,0,D146/B146),0)</f>
        <v>0</v>
      </c>
      <c r="F146" s="28"/>
      <c r="G146" s="28"/>
      <c r="H146" s="30"/>
    </row>
    <row r="147" customFormat="false" ht="15" hidden="false" customHeight="true" outlineLevel="0" collapsed="false">
      <c r="A147" s="27"/>
      <c r="B147" s="30"/>
      <c r="C147" s="29"/>
      <c r="D147" s="20" t="n">
        <f aca="false">IFERROR(B147*C147,0)</f>
        <v>0</v>
      </c>
      <c r="E147" s="25" t="n">
        <f aca="false">IFERROR(IF(B147=0,0,D147/B147),0)</f>
        <v>0</v>
      </c>
      <c r="F147" s="28"/>
      <c r="G147" s="28"/>
      <c r="H147" s="30"/>
    </row>
    <row r="148" customFormat="false" ht="15" hidden="false" customHeight="true" outlineLevel="0" collapsed="false">
      <c r="A148" s="27"/>
      <c r="B148" s="30"/>
      <c r="C148" s="29"/>
      <c r="D148" s="20" t="n">
        <f aca="false">IFERROR(B148*C148,0)</f>
        <v>0</v>
      </c>
      <c r="E148" s="25" t="n">
        <f aca="false">IFERROR(IF(B148=0,0,D148/B148),0)</f>
        <v>0</v>
      </c>
      <c r="F148" s="28"/>
      <c r="G148" s="28"/>
      <c r="H148" s="30"/>
    </row>
    <row r="149" customFormat="false" ht="15" hidden="false" customHeight="true" outlineLevel="0" collapsed="false">
      <c r="A149" s="27"/>
      <c r="B149" s="30"/>
      <c r="C149" s="29"/>
      <c r="D149" s="20" t="n">
        <f aca="false">IFERROR(B149*C149,0)</f>
        <v>0</v>
      </c>
      <c r="E149" s="25" t="n">
        <f aca="false">IFERROR(IF(B149=0,0,D149/B149),0)</f>
        <v>0</v>
      </c>
      <c r="F149" s="28"/>
      <c r="G149" s="28"/>
      <c r="H149" s="30"/>
    </row>
    <row r="150" customFormat="false" ht="15" hidden="false" customHeight="true" outlineLevel="0" collapsed="false">
      <c r="A150" s="27"/>
      <c r="B150" s="30"/>
      <c r="C150" s="29"/>
      <c r="D150" s="20" t="n">
        <f aca="false">IFERROR(B150*C150,0)</f>
        <v>0</v>
      </c>
      <c r="E150" s="25" t="n">
        <f aca="false">IFERROR(IF(B150=0,0,D150/B150),0)</f>
        <v>0</v>
      </c>
      <c r="F150" s="28"/>
      <c r="G150" s="28"/>
      <c r="H150" s="30"/>
    </row>
    <row r="151" customFormat="false" ht="15" hidden="false" customHeight="true" outlineLevel="0" collapsed="false">
      <c r="A151" s="27"/>
      <c r="B151" s="30"/>
      <c r="C151" s="29"/>
      <c r="D151" s="20" t="n">
        <f aca="false">IFERROR(B151*C151,0)</f>
        <v>0</v>
      </c>
      <c r="E151" s="25" t="n">
        <f aca="false">IFERROR(IF(B151=0,0,D151/B151),0)</f>
        <v>0</v>
      </c>
      <c r="F151" s="28"/>
      <c r="G151" s="28"/>
      <c r="H151" s="30"/>
    </row>
    <row r="152" customFormat="false" ht="15" hidden="false" customHeight="true" outlineLevel="0" collapsed="false">
      <c r="A152" s="27"/>
      <c r="B152" s="30"/>
      <c r="C152" s="29"/>
      <c r="D152" s="20" t="n">
        <f aca="false">IFERROR(B152*C152,0)</f>
        <v>0</v>
      </c>
      <c r="E152" s="25" t="n">
        <f aca="false">IFERROR(IF(B152=0,0,D152/B152),0)</f>
        <v>0</v>
      </c>
      <c r="F152" s="28"/>
      <c r="G152" s="28"/>
      <c r="H152" s="30"/>
    </row>
    <row r="153" customFormat="false" ht="15" hidden="false" customHeight="true" outlineLevel="0" collapsed="false">
      <c r="A153" s="27"/>
      <c r="B153" s="30"/>
      <c r="C153" s="29"/>
      <c r="D153" s="20" t="n">
        <f aca="false">IFERROR(B153*C153,0)</f>
        <v>0</v>
      </c>
      <c r="E153" s="25" t="n">
        <f aca="false">IFERROR(IF(B153=0,0,D153/B153),0)</f>
        <v>0</v>
      </c>
      <c r="F153" s="28"/>
      <c r="G153" s="28"/>
      <c r="H153" s="30"/>
    </row>
    <row r="154" customFormat="false" ht="15" hidden="false" customHeight="true" outlineLevel="0" collapsed="false">
      <c r="A154" s="27"/>
      <c r="B154" s="30"/>
      <c r="C154" s="29"/>
      <c r="D154" s="20" t="n">
        <f aca="false">IFERROR(B154*C154,0)</f>
        <v>0</v>
      </c>
      <c r="E154" s="25" t="n">
        <f aca="false">IFERROR(IF(B154=0,0,D154/B154),0)</f>
        <v>0</v>
      </c>
      <c r="F154" s="28"/>
      <c r="G154" s="28"/>
      <c r="H154" s="30"/>
    </row>
    <row r="155" customFormat="false" ht="15" hidden="false" customHeight="true" outlineLevel="0" collapsed="false">
      <c r="A155" s="27"/>
      <c r="B155" s="30"/>
      <c r="C155" s="29"/>
      <c r="D155" s="20" t="n">
        <f aca="false">IFERROR(B155*C155,0)</f>
        <v>0</v>
      </c>
      <c r="E155" s="25" t="n">
        <f aca="false">IFERROR(IF(B155=0,0,D155/B155),0)</f>
        <v>0</v>
      </c>
      <c r="F155" s="28"/>
      <c r="G155" s="28"/>
      <c r="H155" s="30"/>
    </row>
    <row r="156" customFormat="false" ht="15" hidden="false" customHeight="true" outlineLevel="0" collapsed="false">
      <c r="A156" s="27"/>
      <c r="B156" s="30"/>
      <c r="C156" s="29"/>
      <c r="D156" s="20" t="n">
        <f aca="false">IFERROR(B156*C156,0)</f>
        <v>0</v>
      </c>
      <c r="E156" s="25" t="n">
        <f aca="false">IFERROR(IF(B156=0,0,D156/B156),0)</f>
        <v>0</v>
      </c>
      <c r="F156" s="28"/>
      <c r="G156" s="28"/>
      <c r="H156" s="30"/>
    </row>
    <row r="157" customFormat="false" ht="15" hidden="false" customHeight="true" outlineLevel="0" collapsed="false">
      <c r="A157" s="27"/>
      <c r="B157" s="30"/>
      <c r="C157" s="29"/>
      <c r="D157" s="20" t="n">
        <f aca="false">IFERROR(B157*C157,0)</f>
        <v>0</v>
      </c>
      <c r="E157" s="25" t="n">
        <f aca="false">IFERROR(IF(B157=0,0,D157/B157),0)</f>
        <v>0</v>
      </c>
      <c r="F157" s="28"/>
      <c r="G157" s="28"/>
      <c r="H157" s="30"/>
    </row>
    <row r="158" customFormat="false" ht="15" hidden="false" customHeight="true" outlineLevel="0" collapsed="false">
      <c r="A158" s="27"/>
      <c r="B158" s="30"/>
      <c r="C158" s="29"/>
      <c r="D158" s="20" t="n">
        <f aca="false">IFERROR(B158*C158,0)</f>
        <v>0</v>
      </c>
      <c r="E158" s="25" t="n">
        <f aca="false">IFERROR(IF(B158=0,0,D158/B158),0)</f>
        <v>0</v>
      </c>
      <c r="F158" s="28"/>
      <c r="G158" s="28"/>
      <c r="H158" s="30"/>
    </row>
    <row r="159" customFormat="false" ht="15" hidden="false" customHeight="true" outlineLevel="0" collapsed="false">
      <c r="A159" s="27"/>
      <c r="B159" s="30"/>
      <c r="C159" s="29"/>
      <c r="D159" s="20" t="n">
        <f aca="false">IFERROR(B159*C159,0)</f>
        <v>0</v>
      </c>
      <c r="E159" s="25" t="n">
        <f aca="false">IFERROR(IF(B159=0,0,D159/B159),0)</f>
        <v>0</v>
      </c>
      <c r="F159" s="28"/>
      <c r="G159" s="28"/>
      <c r="H159" s="30"/>
    </row>
    <row r="160" customFormat="false" ht="15" hidden="false" customHeight="true" outlineLevel="0" collapsed="false">
      <c r="A160" s="27"/>
      <c r="B160" s="30"/>
      <c r="C160" s="29"/>
      <c r="D160" s="20" t="n">
        <f aca="false">IFERROR(B160*C160,0)</f>
        <v>0</v>
      </c>
      <c r="E160" s="25" t="n">
        <f aca="false">IFERROR(IF(B160=0,0,D160/B160),0)</f>
        <v>0</v>
      </c>
      <c r="F160" s="28"/>
      <c r="G160" s="28"/>
      <c r="H160" s="30"/>
    </row>
    <row r="161" customFormat="false" ht="15" hidden="false" customHeight="true" outlineLevel="0" collapsed="false">
      <c r="A161" s="27"/>
      <c r="B161" s="30"/>
      <c r="C161" s="29"/>
      <c r="D161" s="20" t="n">
        <f aca="false">IFERROR(B161*C161,0)</f>
        <v>0</v>
      </c>
      <c r="E161" s="25" t="n">
        <f aca="false">IFERROR(IF(B161=0,0,D161/B161),0)</f>
        <v>0</v>
      </c>
      <c r="F161" s="28"/>
      <c r="G161" s="28"/>
      <c r="H161" s="30"/>
    </row>
    <row r="162" customFormat="false" ht="15" hidden="false" customHeight="true" outlineLevel="0" collapsed="false">
      <c r="A162" s="27"/>
      <c r="B162" s="30"/>
      <c r="C162" s="29"/>
      <c r="D162" s="20" t="n">
        <f aca="false">IFERROR(B162*C162,0)</f>
        <v>0</v>
      </c>
      <c r="E162" s="25" t="n">
        <f aca="false">IFERROR(IF(B162=0,0,D162/B162),0)</f>
        <v>0</v>
      </c>
      <c r="F162" s="28"/>
      <c r="G162" s="28"/>
      <c r="H162" s="30"/>
    </row>
    <row r="163" customFormat="false" ht="15" hidden="false" customHeight="true" outlineLevel="0" collapsed="false">
      <c r="A163" s="27"/>
      <c r="B163" s="30"/>
      <c r="C163" s="29"/>
      <c r="D163" s="20" t="n">
        <f aca="false">IFERROR(B163*C163,0)</f>
        <v>0</v>
      </c>
      <c r="E163" s="25" t="n">
        <f aca="false">IFERROR(IF(B163=0,0,D163/B163),0)</f>
        <v>0</v>
      </c>
      <c r="F163" s="28"/>
      <c r="G163" s="28"/>
      <c r="H163" s="30"/>
    </row>
    <row r="164" customFormat="false" ht="15" hidden="false" customHeight="true" outlineLevel="0" collapsed="false">
      <c r="A164" s="27"/>
      <c r="B164" s="30"/>
      <c r="C164" s="29"/>
      <c r="D164" s="20" t="n">
        <f aca="false">IFERROR(B164*C164,0)</f>
        <v>0</v>
      </c>
      <c r="E164" s="25" t="n">
        <f aca="false">IFERROR(IF(B164=0,0,D164/B164),0)</f>
        <v>0</v>
      </c>
      <c r="F164" s="28"/>
      <c r="G164" s="28"/>
      <c r="H164" s="30"/>
    </row>
    <row r="165" customFormat="false" ht="15" hidden="false" customHeight="true" outlineLevel="0" collapsed="false">
      <c r="A165" s="27"/>
      <c r="B165" s="30"/>
      <c r="C165" s="29"/>
      <c r="D165" s="20" t="n">
        <f aca="false">IFERROR(B165*C165,0)</f>
        <v>0</v>
      </c>
      <c r="E165" s="25" t="n">
        <f aca="false">IFERROR(IF(B165=0,0,D165/B165),0)</f>
        <v>0</v>
      </c>
      <c r="F165" s="28"/>
      <c r="G165" s="28"/>
      <c r="H165" s="30"/>
    </row>
    <row r="166" customFormat="false" ht="15" hidden="false" customHeight="true" outlineLevel="0" collapsed="false">
      <c r="A166" s="27"/>
      <c r="B166" s="30"/>
      <c r="C166" s="29"/>
      <c r="D166" s="20" t="n">
        <f aca="false">IFERROR(B166*C166,0)</f>
        <v>0</v>
      </c>
      <c r="E166" s="25" t="n">
        <f aca="false">IFERROR(IF(B166=0,0,D166/B166),0)</f>
        <v>0</v>
      </c>
      <c r="F166" s="28"/>
      <c r="G166" s="28"/>
      <c r="H166" s="30"/>
    </row>
    <row r="167" customFormat="false" ht="15" hidden="false" customHeight="true" outlineLevel="0" collapsed="false">
      <c r="A167" s="27"/>
      <c r="B167" s="30"/>
      <c r="C167" s="29"/>
      <c r="D167" s="20" t="n">
        <f aca="false">IFERROR(B167*C167,0)</f>
        <v>0</v>
      </c>
      <c r="E167" s="25" t="n">
        <f aca="false">IFERROR(IF(B167=0,0,D167/B167),0)</f>
        <v>0</v>
      </c>
      <c r="F167" s="28"/>
      <c r="G167" s="28"/>
      <c r="H167" s="30"/>
    </row>
    <row r="168" customFormat="false" ht="15" hidden="false" customHeight="true" outlineLevel="0" collapsed="false">
      <c r="A168" s="27"/>
      <c r="B168" s="30"/>
      <c r="C168" s="29"/>
      <c r="D168" s="20" t="n">
        <f aca="false">IFERROR(B168*C168,0)</f>
        <v>0</v>
      </c>
      <c r="E168" s="25" t="n">
        <f aca="false">IFERROR(IF(B168=0,0,D168/B168),0)</f>
        <v>0</v>
      </c>
      <c r="F168" s="28"/>
      <c r="G168" s="28"/>
      <c r="H168" s="30"/>
    </row>
    <row r="169" customFormat="false" ht="15" hidden="false" customHeight="true" outlineLevel="0" collapsed="false">
      <c r="A169" s="27"/>
      <c r="B169" s="30"/>
      <c r="C169" s="29"/>
      <c r="D169" s="20" t="n">
        <f aca="false">IFERROR(B169*C169,0)</f>
        <v>0</v>
      </c>
      <c r="E169" s="25" t="n">
        <f aca="false">IFERROR(IF(B169=0,0,D169/B169),0)</f>
        <v>0</v>
      </c>
      <c r="F169" s="28"/>
      <c r="G169" s="28"/>
      <c r="H169" s="30"/>
    </row>
    <row r="170" customFormat="false" ht="15" hidden="false" customHeight="true" outlineLevel="0" collapsed="false">
      <c r="A170" s="27"/>
      <c r="B170" s="30"/>
      <c r="C170" s="29"/>
      <c r="D170" s="20" t="n">
        <f aca="false">IFERROR(B170*C170,0)</f>
        <v>0</v>
      </c>
      <c r="E170" s="25" t="n">
        <f aca="false">IFERROR(IF(B170=0,0,D170/B170),0)</f>
        <v>0</v>
      </c>
      <c r="F170" s="28"/>
      <c r="G170" s="28"/>
      <c r="H170" s="30"/>
    </row>
    <row r="171" customFormat="false" ht="15" hidden="false" customHeight="true" outlineLevel="0" collapsed="false">
      <c r="A171" s="27"/>
      <c r="B171" s="30"/>
      <c r="C171" s="29"/>
      <c r="D171" s="20" t="n">
        <f aca="false">IFERROR(B171*C171,0)</f>
        <v>0</v>
      </c>
      <c r="E171" s="25" t="n">
        <f aca="false">IFERROR(IF(B171=0,0,D171/B171),0)</f>
        <v>0</v>
      </c>
      <c r="F171" s="28"/>
      <c r="G171" s="28"/>
      <c r="H171" s="30"/>
    </row>
    <row r="172" customFormat="false" ht="15" hidden="false" customHeight="true" outlineLevel="0" collapsed="false">
      <c r="A172" s="27"/>
      <c r="B172" s="30"/>
      <c r="C172" s="29"/>
      <c r="D172" s="20" t="n">
        <f aca="false">IFERROR(B172*C172,0)</f>
        <v>0</v>
      </c>
      <c r="E172" s="25" t="n">
        <f aca="false">IFERROR(IF(B172=0,0,D172/B172),0)</f>
        <v>0</v>
      </c>
      <c r="F172" s="28"/>
      <c r="G172" s="28"/>
      <c r="H172" s="30"/>
    </row>
    <row r="173" customFormat="false" ht="15" hidden="false" customHeight="true" outlineLevel="0" collapsed="false">
      <c r="A173" s="27"/>
      <c r="B173" s="30"/>
      <c r="C173" s="29"/>
      <c r="D173" s="20" t="n">
        <f aca="false">IFERROR(B173*C173,0)</f>
        <v>0</v>
      </c>
      <c r="E173" s="25" t="n">
        <f aca="false">IFERROR(IF(B173=0,0,D173/B173),0)</f>
        <v>0</v>
      </c>
      <c r="F173" s="28"/>
      <c r="G173" s="28"/>
      <c r="H173" s="30"/>
    </row>
    <row r="174" customFormat="false" ht="15" hidden="false" customHeight="true" outlineLevel="0" collapsed="false">
      <c r="A174" s="27"/>
      <c r="B174" s="30"/>
      <c r="C174" s="29"/>
      <c r="D174" s="20" t="n">
        <f aca="false">IFERROR(B174*C174,0)</f>
        <v>0</v>
      </c>
      <c r="E174" s="25" t="n">
        <f aca="false">IFERROR(IF(B174=0,0,D174/B174),0)</f>
        <v>0</v>
      </c>
      <c r="F174" s="28"/>
      <c r="G174" s="28"/>
      <c r="H174" s="30"/>
    </row>
    <row r="175" customFormat="false" ht="15" hidden="false" customHeight="true" outlineLevel="0" collapsed="false">
      <c r="A175" s="27"/>
      <c r="B175" s="30"/>
      <c r="C175" s="29"/>
      <c r="D175" s="20" t="n">
        <f aca="false">IFERROR(B175*C175,0)</f>
        <v>0</v>
      </c>
      <c r="E175" s="25" t="n">
        <f aca="false">IFERROR(IF(B175=0,0,D175/B175),0)</f>
        <v>0</v>
      </c>
      <c r="F175" s="28"/>
      <c r="G175" s="28"/>
      <c r="H175" s="30"/>
    </row>
    <row r="176" customFormat="false" ht="15" hidden="false" customHeight="true" outlineLevel="0" collapsed="false">
      <c r="A176" s="27"/>
      <c r="B176" s="30"/>
      <c r="C176" s="29"/>
      <c r="D176" s="20" t="n">
        <f aca="false">IFERROR(B176*C176,0)</f>
        <v>0</v>
      </c>
      <c r="E176" s="25" t="n">
        <f aca="false">IFERROR(IF(B176=0,0,D176/B176),0)</f>
        <v>0</v>
      </c>
      <c r="F176" s="28"/>
      <c r="G176" s="28"/>
      <c r="H176" s="30"/>
    </row>
    <row r="177" customFormat="false" ht="15" hidden="false" customHeight="true" outlineLevel="0" collapsed="false">
      <c r="A177" s="27"/>
      <c r="B177" s="30"/>
      <c r="C177" s="29"/>
      <c r="D177" s="20" t="n">
        <f aca="false">IFERROR(B177*C177,0)</f>
        <v>0</v>
      </c>
      <c r="E177" s="25" t="n">
        <f aca="false">IFERROR(IF(B177=0,0,D177/B177),0)</f>
        <v>0</v>
      </c>
      <c r="F177" s="28"/>
      <c r="G177" s="28"/>
      <c r="H177" s="30"/>
    </row>
    <row r="178" customFormat="false" ht="15" hidden="false" customHeight="true" outlineLevel="0" collapsed="false">
      <c r="A178" s="27"/>
      <c r="B178" s="30"/>
      <c r="C178" s="29"/>
      <c r="D178" s="20" t="n">
        <f aca="false">IFERROR(B178*C178,0)</f>
        <v>0</v>
      </c>
      <c r="E178" s="25" t="n">
        <f aca="false">IFERROR(IF(B178=0,0,D178/B178),0)</f>
        <v>0</v>
      </c>
      <c r="F178" s="28"/>
      <c r="G178" s="28"/>
      <c r="H178" s="30"/>
    </row>
    <row r="179" customFormat="false" ht="15" hidden="false" customHeight="true" outlineLevel="0" collapsed="false">
      <c r="A179" s="27"/>
      <c r="B179" s="30"/>
      <c r="C179" s="29"/>
      <c r="D179" s="20" t="n">
        <f aca="false">IFERROR(B179*C179,0)</f>
        <v>0</v>
      </c>
      <c r="E179" s="25" t="n">
        <f aca="false">IFERROR(IF(B179=0,0,D179/B179),0)</f>
        <v>0</v>
      </c>
      <c r="F179" s="28"/>
      <c r="G179" s="28"/>
      <c r="H179" s="30"/>
    </row>
    <row r="180" customFormat="false" ht="15" hidden="false" customHeight="true" outlineLevel="0" collapsed="false">
      <c r="A180" s="27"/>
      <c r="B180" s="30"/>
      <c r="C180" s="29"/>
      <c r="D180" s="20" t="n">
        <f aca="false">IFERROR(B180*C180,0)</f>
        <v>0</v>
      </c>
      <c r="E180" s="25" t="n">
        <f aca="false">IFERROR(IF(B180=0,0,D180/B180),0)</f>
        <v>0</v>
      </c>
      <c r="F180" s="28"/>
      <c r="G180" s="28"/>
      <c r="H180" s="30"/>
    </row>
    <row r="181" customFormat="false" ht="15" hidden="false" customHeight="true" outlineLevel="0" collapsed="false">
      <c r="A181" s="27"/>
      <c r="B181" s="30"/>
      <c r="C181" s="29"/>
      <c r="D181" s="20" t="n">
        <f aca="false">IFERROR(B181*C181,0)</f>
        <v>0</v>
      </c>
      <c r="E181" s="25" t="n">
        <f aca="false">IFERROR(IF(B181=0,0,D181/B181),0)</f>
        <v>0</v>
      </c>
      <c r="F181" s="28"/>
      <c r="G181" s="28"/>
      <c r="H181" s="30"/>
    </row>
    <row r="182" customFormat="false" ht="15" hidden="false" customHeight="true" outlineLevel="0" collapsed="false">
      <c r="A182" s="27"/>
      <c r="B182" s="30"/>
      <c r="C182" s="29"/>
      <c r="D182" s="20" t="n">
        <f aca="false">IFERROR(B182*C182,0)</f>
        <v>0</v>
      </c>
      <c r="E182" s="25" t="n">
        <f aca="false">IFERROR(IF(B182=0,0,D182/B182),0)</f>
        <v>0</v>
      </c>
      <c r="F182" s="28"/>
      <c r="G182" s="28"/>
      <c r="H182" s="30"/>
    </row>
    <row r="183" customFormat="false" ht="15" hidden="false" customHeight="true" outlineLevel="0" collapsed="false">
      <c r="A183" s="27"/>
      <c r="B183" s="30"/>
      <c r="C183" s="29"/>
      <c r="D183" s="20" t="n">
        <f aca="false">IFERROR(B183*C183,0)</f>
        <v>0</v>
      </c>
      <c r="E183" s="25" t="n">
        <f aca="false">IFERROR(IF(B183=0,0,D183/B183),0)</f>
        <v>0</v>
      </c>
      <c r="F183" s="28"/>
      <c r="G183" s="28"/>
      <c r="H183" s="30"/>
    </row>
    <row r="184" customFormat="false" ht="15" hidden="false" customHeight="true" outlineLevel="0" collapsed="false">
      <c r="A184" s="27"/>
      <c r="B184" s="30"/>
      <c r="C184" s="29"/>
      <c r="D184" s="20" t="n">
        <f aca="false">IFERROR(B184*C184,0)</f>
        <v>0</v>
      </c>
      <c r="E184" s="25" t="n">
        <f aca="false">IFERROR(IF(B184=0,0,D184/B184),0)</f>
        <v>0</v>
      </c>
      <c r="F184" s="28"/>
      <c r="G184" s="28"/>
      <c r="H184" s="30"/>
    </row>
    <row r="185" customFormat="false" ht="15" hidden="false" customHeight="true" outlineLevel="0" collapsed="false">
      <c r="A185" s="27"/>
      <c r="B185" s="30"/>
      <c r="C185" s="29"/>
      <c r="D185" s="20" t="n">
        <f aca="false">IFERROR(B185*C185,0)</f>
        <v>0</v>
      </c>
      <c r="E185" s="25" t="n">
        <f aca="false">IFERROR(IF(B185=0,0,D185/B185),0)</f>
        <v>0</v>
      </c>
      <c r="F185" s="28"/>
      <c r="G185" s="28"/>
      <c r="H185" s="30"/>
    </row>
    <row r="186" customFormat="false" ht="15" hidden="false" customHeight="true" outlineLevel="0" collapsed="false">
      <c r="A186" s="27"/>
      <c r="B186" s="30"/>
      <c r="C186" s="29"/>
      <c r="D186" s="20" t="n">
        <f aca="false">IFERROR(B186*C186,0)</f>
        <v>0</v>
      </c>
      <c r="E186" s="25" t="n">
        <f aca="false">IFERROR(IF(B186=0,0,D186/B186),0)</f>
        <v>0</v>
      </c>
      <c r="F186" s="28"/>
      <c r="G186" s="28"/>
      <c r="H186" s="30"/>
    </row>
    <row r="187" customFormat="false" ht="15" hidden="false" customHeight="true" outlineLevel="0" collapsed="false">
      <c r="A187" s="27"/>
      <c r="B187" s="30"/>
      <c r="C187" s="29"/>
      <c r="D187" s="20" t="n">
        <f aca="false">IFERROR(B187*C187,0)</f>
        <v>0</v>
      </c>
      <c r="E187" s="25" t="n">
        <f aca="false">IFERROR(IF(B187=0,0,D187/B187),0)</f>
        <v>0</v>
      </c>
      <c r="F187" s="28"/>
      <c r="G187" s="28"/>
      <c r="H187" s="30"/>
    </row>
    <row r="188" customFormat="false" ht="15" hidden="false" customHeight="true" outlineLevel="0" collapsed="false">
      <c r="A188" s="27"/>
      <c r="B188" s="30"/>
      <c r="C188" s="29"/>
      <c r="D188" s="20" t="n">
        <f aca="false">IFERROR(B188*C188,0)</f>
        <v>0</v>
      </c>
      <c r="E188" s="25" t="n">
        <f aca="false">IFERROR(IF(B188=0,0,D188/B188),0)</f>
        <v>0</v>
      </c>
      <c r="F188" s="28"/>
      <c r="G188" s="28"/>
      <c r="H188" s="30"/>
    </row>
    <row r="189" customFormat="false" ht="15" hidden="false" customHeight="true" outlineLevel="0" collapsed="false">
      <c r="A189" s="27"/>
      <c r="B189" s="30"/>
      <c r="C189" s="29"/>
      <c r="D189" s="20" t="n">
        <f aca="false">IFERROR(B189*C189,0)</f>
        <v>0</v>
      </c>
      <c r="E189" s="25" t="n">
        <f aca="false">IFERROR(IF(B189=0,0,D189/B189),0)</f>
        <v>0</v>
      </c>
      <c r="F189" s="28"/>
      <c r="G189" s="28"/>
      <c r="H189" s="30"/>
    </row>
    <row r="190" customFormat="false" ht="15" hidden="false" customHeight="true" outlineLevel="0" collapsed="false">
      <c r="A190" s="27"/>
      <c r="B190" s="30"/>
      <c r="C190" s="29"/>
      <c r="D190" s="20" t="n">
        <f aca="false">IFERROR(B190*C190,0)</f>
        <v>0</v>
      </c>
      <c r="E190" s="25" t="n">
        <f aca="false">IFERROR(IF(B190=0,0,D190/B190),0)</f>
        <v>0</v>
      </c>
      <c r="F190" s="28"/>
      <c r="G190" s="28"/>
      <c r="H190" s="30"/>
    </row>
    <row r="191" customFormat="false" ht="15" hidden="false" customHeight="true" outlineLevel="0" collapsed="false">
      <c r="A191" s="27"/>
      <c r="B191" s="30"/>
      <c r="C191" s="29"/>
      <c r="D191" s="20" t="n">
        <f aca="false">IFERROR(B191*C191,0)</f>
        <v>0</v>
      </c>
      <c r="E191" s="25" t="n">
        <f aca="false">IFERROR(IF(B191=0,0,D191/B191),0)</f>
        <v>0</v>
      </c>
      <c r="F191" s="28"/>
      <c r="G191" s="28"/>
      <c r="H191" s="30"/>
    </row>
    <row r="192" customFormat="false" ht="15" hidden="false" customHeight="true" outlineLevel="0" collapsed="false">
      <c r="A192" s="27"/>
      <c r="B192" s="30"/>
      <c r="C192" s="29"/>
      <c r="D192" s="20" t="n">
        <f aca="false">IFERROR(B192*C192,0)</f>
        <v>0</v>
      </c>
      <c r="E192" s="25" t="n">
        <f aca="false">IFERROR(IF(B192=0,0,D192/B192),0)</f>
        <v>0</v>
      </c>
      <c r="F192" s="28"/>
      <c r="G192" s="28"/>
      <c r="H192" s="30"/>
    </row>
    <row r="193" customFormat="false" ht="15" hidden="false" customHeight="true" outlineLevel="0" collapsed="false">
      <c r="A193" s="27"/>
      <c r="B193" s="30"/>
      <c r="C193" s="29"/>
      <c r="D193" s="20" t="n">
        <f aca="false">IFERROR(B193*C193,0)</f>
        <v>0</v>
      </c>
      <c r="E193" s="25" t="n">
        <f aca="false">IFERROR(IF(B193=0,0,D193/B193),0)</f>
        <v>0</v>
      </c>
      <c r="F193" s="28"/>
      <c r="G193" s="28"/>
      <c r="H193" s="30"/>
    </row>
    <row r="194" customFormat="false" ht="15" hidden="false" customHeight="true" outlineLevel="0" collapsed="false">
      <c r="A194" s="27"/>
      <c r="B194" s="30"/>
      <c r="C194" s="29"/>
      <c r="D194" s="20" t="n">
        <f aca="false">IFERROR(B194*C194,0)</f>
        <v>0</v>
      </c>
      <c r="E194" s="25" t="n">
        <f aca="false">IFERROR(IF(B194=0,0,D194/B194),0)</f>
        <v>0</v>
      </c>
      <c r="F194" s="28"/>
      <c r="G194" s="28"/>
      <c r="H194" s="30"/>
    </row>
    <row r="195" customFormat="false" ht="15" hidden="false" customHeight="true" outlineLevel="0" collapsed="false">
      <c r="A195" s="27"/>
      <c r="B195" s="30"/>
      <c r="C195" s="29"/>
      <c r="D195" s="20" t="n">
        <f aca="false">IFERROR(B195*C195,0)</f>
        <v>0</v>
      </c>
      <c r="E195" s="25" t="n">
        <f aca="false">IFERROR(IF(B195=0,0,D195/B195),0)</f>
        <v>0</v>
      </c>
      <c r="F195" s="28"/>
      <c r="G195" s="28"/>
      <c r="H195" s="30"/>
    </row>
    <row r="196" customFormat="false" ht="15" hidden="false" customHeight="true" outlineLevel="0" collapsed="false">
      <c r="A196" s="27"/>
      <c r="B196" s="30"/>
      <c r="C196" s="29"/>
      <c r="D196" s="20" t="n">
        <f aca="false">IFERROR(B196*C196,0)</f>
        <v>0</v>
      </c>
      <c r="E196" s="25" t="n">
        <f aca="false">IFERROR(IF(B196=0,0,D196/B196),0)</f>
        <v>0</v>
      </c>
      <c r="F196" s="28"/>
      <c r="G196" s="28"/>
      <c r="H196" s="30"/>
    </row>
    <row r="197" customFormat="false" ht="15" hidden="false" customHeight="true" outlineLevel="0" collapsed="false">
      <c r="A197" s="27"/>
      <c r="B197" s="30"/>
      <c r="C197" s="29"/>
      <c r="D197" s="20" t="n">
        <f aca="false">IFERROR(B197*C197,0)</f>
        <v>0</v>
      </c>
      <c r="E197" s="25" t="n">
        <f aca="false">IFERROR(IF(B197=0,0,D197/B197),0)</f>
        <v>0</v>
      </c>
      <c r="F197" s="28"/>
      <c r="G197" s="28"/>
      <c r="H197" s="30"/>
    </row>
    <row r="198" customFormat="false" ht="15" hidden="false" customHeight="true" outlineLevel="0" collapsed="false">
      <c r="A198" s="27"/>
      <c r="B198" s="30"/>
      <c r="C198" s="29"/>
      <c r="D198" s="20" t="n">
        <f aca="false">IFERROR(B198*C198,0)</f>
        <v>0</v>
      </c>
      <c r="E198" s="25" t="n">
        <f aca="false">IFERROR(IF(B198=0,0,D198/B198),0)</f>
        <v>0</v>
      </c>
      <c r="F198" s="28"/>
      <c r="G198" s="28"/>
      <c r="H198" s="30"/>
    </row>
    <row r="199" customFormat="false" ht="15" hidden="false" customHeight="true" outlineLevel="0" collapsed="false">
      <c r="A199" s="27"/>
      <c r="B199" s="30"/>
      <c r="C199" s="29"/>
      <c r="D199" s="20" t="n">
        <f aca="false">IFERROR(B199*C199,0)</f>
        <v>0</v>
      </c>
      <c r="E199" s="25" t="n">
        <f aca="false">IFERROR(IF(B199=0,0,D199/B199),0)</f>
        <v>0</v>
      </c>
      <c r="F199" s="28"/>
      <c r="G199" s="28"/>
      <c r="H199" s="30"/>
    </row>
    <row r="200" customFormat="false" ht="15" hidden="false" customHeight="true" outlineLevel="0" collapsed="false">
      <c r="A200" s="27"/>
      <c r="B200" s="30"/>
      <c r="C200" s="29"/>
      <c r="D200" s="20" t="n">
        <f aca="false">IFERROR(B200*C200,0)</f>
        <v>0</v>
      </c>
      <c r="E200" s="25" t="n">
        <f aca="false">IFERROR(IF(B200=0,0,D200/B200),0)</f>
        <v>0</v>
      </c>
      <c r="F200" s="28"/>
      <c r="G200" s="28"/>
      <c r="H200" s="30"/>
    </row>
    <row r="201" customFormat="false" ht="15" hidden="false" customHeight="true" outlineLevel="0" collapsed="false">
      <c r="A201" s="27"/>
      <c r="B201" s="30"/>
      <c r="C201" s="29"/>
      <c r="D201" s="20" t="n">
        <f aca="false">IFERROR(B201*C201,0)</f>
        <v>0</v>
      </c>
      <c r="E201" s="25" t="n">
        <f aca="false">IFERROR(IF(B201=0,0,D201/B201),0)</f>
        <v>0</v>
      </c>
      <c r="F201" s="28"/>
      <c r="G201" s="28"/>
      <c r="H201" s="30"/>
    </row>
    <row r="202" customFormat="false" ht="15" hidden="false" customHeight="true" outlineLevel="0" collapsed="false">
      <c r="A202" s="27"/>
      <c r="B202" s="30"/>
      <c r="C202" s="29"/>
      <c r="D202" s="20" t="n">
        <f aca="false">IFERROR(B202*C202,0)</f>
        <v>0</v>
      </c>
      <c r="E202" s="25" t="n">
        <f aca="false">IFERROR(IF(B202=0,0,D202/B202),0)</f>
        <v>0</v>
      </c>
      <c r="F202" s="28"/>
      <c r="G202" s="28"/>
      <c r="H202" s="30"/>
    </row>
    <row r="203" customFormat="false" ht="15" hidden="false" customHeight="true" outlineLevel="0" collapsed="false">
      <c r="A203" s="27"/>
      <c r="B203" s="30"/>
      <c r="C203" s="29"/>
      <c r="D203" s="20" t="n">
        <f aca="false">IFERROR(B203*C203,0)</f>
        <v>0</v>
      </c>
      <c r="E203" s="25" t="n">
        <f aca="false">IFERROR(IF(B203=0,0,D203/B203),0)</f>
        <v>0</v>
      </c>
      <c r="F203" s="28"/>
      <c r="G203" s="28"/>
      <c r="H203" s="30"/>
    </row>
    <row r="205" customFormat="false" ht="15" hidden="false" customHeight="true" outlineLevel="0" collapsed="false">
      <c r="A205" s="7" t="s">
        <v>98</v>
      </c>
      <c r="B205" s="31" t="n">
        <f aca="false">SUM(B4:B203)</f>
        <v>0</v>
      </c>
      <c r="D205" s="32" t="n">
        <f aca="false">SUM(D4:D203)</f>
        <v>0</v>
      </c>
      <c r="E205" s="31" t="n">
        <f aca="false">IFERROR(D205/B205,0)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14"/>
  </cols>
  <sheetData>
    <row r="1" customFormat="false" ht="25.5" hidden="false" customHeight="true" outlineLevel="0" collapsed="false">
      <c r="A1" s="6" t="s">
        <v>103</v>
      </c>
      <c r="B1" s="6"/>
      <c r="C1" s="6"/>
      <c r="D1" s="6"/>
      <c r="E1" s="6"/>
      <c r="F1" s="6"/>
      <c r="G1" s="6"/>
      <c r="H1" s="6"/>
    </row>
    <row r="3" customFormat="false" ht="30" hidden="false" customHeight="true" outlineLevel="0" collapsed="false">
      <c r="A3" s="16" t="s">
        <v>51</v>
      </c>
      <c r="B3" s="16" t="s">
        <v>104</v>
      </c>
      <c r="C3" s="16" t="s">
        <v>54</v>
      </c>
      <c r="D3" s="16" t="s">
        <v>37</v>
      </c>
      <c r="E3" s="16" t="s">
        <v>91</v>
      </c>
      <c r="F3" s="16" t="s">
        <v>92</v>
      </c>
      <c r="G3" s="16" t="s">
        <v>57</v>
      </c>
      <c r="H3" s="16" t="s">
        <v>93</v>
      </c>
    </row>
    <row r="4" customFormat="false" ht="15" hidden="false" customHeight="true" outlineLevel="0" collapsed="false">
      <c r="A4" s="27" t="s">
        <v>96</v>
      </c>
      <c r="B4" s="30" t="n">
        <v>100</v>
      </c>
      <c r="C4" s="29" t="n">
        <v>36.2</v>
      </c>
      <c r="D4" s="20" t="n">
        <f aca="false">IFERROR(B4*C4,0)</f>
        <v>3620</v>
      </c>
      <c r="E4" s="25" t="n">
        <f aca="false">IFERROR(IF(B4=0,0,D4/B4),0)</f>
        <v>36.2</v>
      </c>
      <c r="F4" s="28" t="s">
        <v>48</v>
      </c>
      <c r="G4" s="28" t="s">
        <v>71</v>
      </c>
      <c r="H4" s="30"/>
    </row>
    <row r="5" customFormat="false" ht="15" hidden="false" customHeight="true" outlineLevel="0" collapsed="false">
      <c r="A5" s="27" t="s">
        <v>64</v>
      </c>
      <c r="B5" s="30" t="n">
        <v>200</v>
      </c>
      <c r="C5" s="29" t="n">
        <v>0.62</v>
      </c>
      <c r="D5" s="20" t="n">
        <f aca="false">IFERROR(B5*C5,0)</f>
        <v>124</v>
      </c>
      <c r="E5" s="25" t="n">
        <f aca="false">IFERROR(IF(B5=0,0,D5/B5),0)</f>
        <v>0.62</v>
      </c>
      <c r="F5" s="28" t="s">
        <v>49</v>
      </c>
      <c r="G5" s="28" t="s">
        <v>105</v>
      </c>
      <c r="H5" s="30"/>
    </row>
    <row r="6" customFormat="false" ht="15" hidden="false" customHeight="true" outlineLevel="0" collapsed="false">
      <c r="A6" s="27"/>
      <c r="B6" s="30"/>
      <c r="C6" s="29"/>
      <c r="D6" s="20" t="n">
        <f aca="false">IFERROR(B6*C6,0)</f>
        <v>0</v>
      </c>
      <c r="E6" s="25" t="n">
        <f aca="false">IFERROR(IF(B6=0,0,D6/B6),0)</f>
        <v>0</v>
      </c>
      <c r="F6" s="28"/>
      <c r="G6" s="28"/>
      <c r="H6" s="30"/>
    </row>
    <row r="7" customFormat="false" ht="15" hidden="false" customHeight="true" outlineLevel="0" collapsed="false">
      <c r="A7" s="27"/>
      <c r="B7" s="30"/>
      <c r="C7" s="29"/>
      <c r="D7" s="20" t="n">
        <f aca="false">IFERROR(B7*C7,0)</f>
        <v>0</v>
      </c>
      <c r="E7" s="25" t="n">
        <f aca="false">IFERROR(IF(B7=0,0,D7/B7),0)</f>
        <v>0</v>
      </c>
      <c r="F7" s="28"/>
      <c r="G7" s="28"/>
      <c r="H7" s="30"/>
    </row>
    <row r="8" customFormat="false" ht="15" hidden="false" customHeight="true" outlineLevel="0" collapsed="false">
      <c r="A8" s="27"/>
      <c r="B8" s="30"/>
      <c r="C8" s="29"/>
      <c r="D8" s="20" t="n">
        <f aca="false">IFERROR(B8*C8,0)</f>
        <v>0</v>
      </c>
      <c r="E8" s="25" t="n">
        <f aca="false">IFERROR(IF(B8=0,0,D8/B8),0)</f>
        <v>0</v>
      </c>
      <c r="F8" s="28"/>
      <c r="G8" s="28"/>
      <c r="H8" s="30"/>
    </row>
    <row r="9" customFormat="false" ht="15" hidden="false" customHeight="true" outlineLevel="0" collapsed="false">
      <c r="A9" s="27"/>
      <c r="B9" s="30"/>
      <c r="C9" s="29"/>
      <c r="D9" s="20" t="n">
        <f aca="false">IFERROR(B9*C9,0)</f>
        <v>0</v>
      </c>
      <c r="E9" s="25" t="n">
        <f aca="false">IFERROR(IF(B9=0,0,D9/B9),0)</f>
        <v>0</v>
      </c>
      <c r="F9" s="28"/>
      <c r="G9" s="28"/>
      <c r="H9" s="30"/>
    </row>
    <row r="10" customFormat="false" ht="15" hidden="false" customHeight="true" outlineLevel="0" collapsed="false">
      <c r="A10" s="27"/>
      <c r="B10" s="30"/>
      <c r="C10" s="29"/>
      <c r="D10" s="20" t="n">
        <f aca="false">IFERROR(B10*C10,0)</f>
        <v>0</v>
      </c>
      <c r="E10" s="25" t="n">
        <f aca="false">IFERROR(IF(B10=0,0,D10/B10),0)</f>
        <v>0</v>
      </c>
      <c r="F10" s="28"/>
      <c r="G10" s="28"/>
      <c r="H10" s="30"/>
    </row>
    <row r="11" customFormat="false" ht="15" hidden="false" customHeight="true" outlineLevel="0" collapsed="false">
      <c r="A11" s="27"/>
      <c r="B11" s="30"/>
      <c r="C11" s="29"/>
      <c r="D11" s="20" t="n">
        <f aca="false">IFERROR(B11*C11,0)</f>
        <v>0</v>
      </c>
      <c r="E11" s="25" t="n">
        <f aca="false">IFERROR(IF(B11=0,0,D11/B11),0)</f>
        <v>0</v>
      </c>
      <c r="F11" s="28"/>
      <c r="G11" s="28"/>
      <c r="H11" s="30"/>
    </row>
    <row r="12" customFormat="false" ht="15" hidden="false" customHeight="true" outlineLevel="0" collapsed="false">
      <c r="A12" s="27"/>
      <c r="B12" s="30"/>
      <c r="C12" s="29"/>
      <c r="D12" s="20" t="n">
        <f aca="false">IFERROR(B12*C12,0)</f>
        <v>0</v>
      </c>
      <c r="E12" s="25" t="n">
        <f aca="false">IFERROR(IF(B12=0,0,D12/B12),0)</f>
        <v>0</v>
      </c>
      <c r="F12" s="28"/>
      <c r="G12" s="28"/>
      <c r="H12" s="30"/>
    </row>
    <row r="13" customFormat="false" ht="15" hidden="false" customHeight="true" outlineLevel="0" collapsed="false">
      <c r="A13" s="27"/>
      <c r="B13" s="30"/>
      <c r="C13" s="29"/>
      <c r="D13" s="20" t="n">
        <f aca="false">IFERROR(B13*C13,0)</f>
        <v>0</v>
      </c>
      <c r="E13" s="25" t="n">
        <f aca="false">IFERROR(IF(B13=0,0,D13/B13),0)</f>
        <v>0</v>
      </c>
      <c r="F13" s="28"/>
      <c r="G13" s="28"/>
      <c r="H13" s="30"/>
    </row>
    <row r="14" customFormat="false" ht="15" hidden="false" customHeight="true" outlineLevel="0" collapsed="false">
      <c r="A14" s="27"/>
      <c r="B14" s="30"/>
      <c r="C14" s="29"/>
      <c r="D14" s="20" t="n">
        <f aca="false">IFERROR(B14*C14,0)</f>
        <v>0</v>
      </c>
      <c r="E14" s="25" t="n">
        <f aca="false">IFERROR(IF(B14=0,0,D14/B14),0)</f>
        <v>0</v>
      </c>
      <c r="F14" s="28"/>
      <c r="G14" s="28"/>
      <c r="H14" s="30"/>
    </row>
    <row r="15" customFormat="false" ht="15" hidden="false" customHeight="true" outlineLevel="0" collapsed="false">
      <c r="A15" s="27"/>
      <c r="B15" s="30"/>
      <c r="C15" s="29"/>
      <c r="D15" s="20" t="n">
        <f aca="false">IFERROR(B15*C15,0)</f>
        <v>0</v>
      </c>
      <c r="E15" s="25" t="n">
        <f aca="false">IFERROR(IF(B15=0,0,D15/B15),0)</f>
        <v>0</v>
      </c>
      <c r="F15" s="28"/>
      <c r="G15" s="28"/>
      <c r="H15" s="30"/>
    </row>
    <row r="16" customFormat="false" ht="15" hidden="false" customHeight="true" outlineLevel="0" collapsed="false">
      <c r="A16" s="27"/>
      <c r="B16" s="30"/>
      <c r="C16" s="29"/>
      <c r="D16" s="20" t="n">
        <f aca="false">IFERROR(B16*C16,0)</f>
        <v>0</v>
      </c>
      <c r="E16" s="25" t="n">
        <f aca="false">IFERROR(IF(B16=0,0,D16/B16),0)</f>
        <v>0</v>
      </c>
      <c r="F16" s="28"/>
      <c r="G16" s="28"/>
      <c r="H16" s="30"/>
    </row>
    <row r="17" customFormat="false" ht="15" hidden="false" customHeight="true" outlineLevel="0" collapsed="false">
      <c r="A17" s="27"/>
      <c r="B17" s="30"/>
      <c r="C17" s="29"/>
      <c r="D17" s="20" t="n">
        <f aca="false">IFERROR(B17*C17,0)</f>
        <v>0</v>
      </c>
      <c r="E17" s="25" t="n">
        <f aca="false">IFERROR(IF(B17=0,0,D17/B17),0)</f>
        <v>0</v>
      </c>
      <c r="F17" s="28"/>
      <c r="G17" s="28"/>
      <c r="H17" s="30"/>
    </row>
    <row r="18" customFormat="false" ht="15" hidden="false" customHeight="true" outlineLevel="0" collapsed="false">
      <c r="A18" s="27"/>
      <c r="B18" s="30"/>
      <c r="C18" s="29"/>
      <c r="D18" s="20" t="n">
        <f aca="false">IFERROR(B18*C18,0)</f>
        <v>0</v>
      </c>
      <c r="E18" s="25" t="n">
        <f aca="false">IFERROR(IF(B18=0,0,D18/B18),0)</f>
        <v>0</v>
      </c>
      <c r="F18" s="28"/>
      <c r="G18" s="28"/>
      <c r="H18" s="30"/>
    </row>
    <row r="19" customFormat="false" ht="15" hidden="false" customHeight="true" outlineLevel="0" collapsed="false">
      <c r="A19" s="27"/>
      <c r="B19" s="30"/>
      <c r="C19" s="29"/>
      <c r="D19" s="20" t="n">
        <f aca="false">IFERROR(B19*C19,0)</f>
        <v>0</v>
      </c>
      <c r="E19" s="25" t="n">
        <f aca="false">IFERROR(IF(B19=0,0,D19/B19),0)</f>
        <v>0</v>
      </c>
      <c r="F19" s="28"/>
      <c r="G19" s="28"/>
      <c r="H19" s="30"/>
    </row>
    <row r="20" customFormat="false" ht="15" hidden="false" customHeight="true" outlineLevel="0" collapsed="false">
      <c r="A20" s="27"/>
      <c r="B20" s="30"/>
      <c r="C20" s="29"/>
      <c r="D20" s="20" t="n">
        <f aca="false">IFERROR(B20*C20,0)</f>
        <v>0</v>
      </c>
      <c r="E20" s="25" t="n">
        <f aca="false">IFERROR(IF(B20=0,0,D20/B20),0)</f>
        <v>0</v>
      </c>
      <c r="F20" s="28"/>
      <c r="G20" s="28"/>
      <c r="H20" s="30"/>
    </row>
    <row r="21" customFormat="false" ht="15" hidden="false" customHeight="true" outlineLevel="0" collapsed="false">
      <c r="A21" s="27"/>
      <c r="B21" s="30"/>
      <c r="C21" s="29"/>
      <c r="D21" s="20" t="n">
        <f aca="false">IFERROR(B21*C21,0)</f>
        <v>0</v>
      </c>
      <c r="E21" s="25" t="n">
        <f aca="false">IFERROR(IF(B21=0,0,D21/B21),0)</f>
        <v>0</v>
      </c>
      <c r="F21" s="28"/>
      <c r="G21" s="28"/>
      <c r="H21" s="30"/>
    </row>
    <row r="22" customFormat="false" ht="15" hidden="false" customHeight="true" outlineLevel="0" collapsed="false">
      <c r="A22" s="27"/>
      <c r="B22" s="30"/>
      <c r="C22" s="29"/>
      <c r="D22" s="20" t="n">
        <f aca="false">IFERROR(B22*C22,0)</f>
        <v>0</v>
      </c>
      <c r="E22" s="25" t="n">
        <f aca="false">IFERROR(IF(B22=0,0,D22/B22),0)</f>
        <v>0</v>
      </c>
      <c r="F22" s="28"/>
      <c r="G22" s="28"/>
      <c r="H22" s="30"/>
    </row>
    <row r="23" customFormat="false" ht="15" hidden="false" customHeight="true" outlineLevel="0" collapsed="false">
      <c r="A23" s="27"/>
      <c r="B23" s="30"/>
      <c r="C23" s="29"/>
      <c r="D23" s="20" t="n">
        <f aca="false">IFERROR(B23*C23,0)</f>
        <v>0</v>
      </c>
      <c r="E23" s="25" t="n">
        <f aca="false">IFERROR(IF(B23=0,0,D23/B23),0)</f>
        <v>0</v>
      </c>
      <c r="F23" s="28"/>
      <c r="G23" s="28"/>
      <c r="H23" s="30"/>
    </row>
    <row r="24" customFormat="false" ht="15" hidden="false" customHeight="true" outlineLevel="0" collapsed="false">
      <c r="A24" s="27"/>
      <c r="B24" s="30"/>
      <c r="C24" s="29"/>
      <c r="D24" s="20" t="n">
        <f aca="false">IFERROR(B24*C24,0)</f>
        <v>0</v>
      </c>
      <c r="E24" s="25" t="n">
        <f aca="false">IFERROR(IF(B24=0,0,D24/B24),0)</f>
        <v>0</v>
      </c>
      <c r="F24" s="28"/>
      <c r="G24" s="28"/>
      <c r="H24" s="30"/>
    </row>
    <row r="25" customFormat="false" ht="15" hidden="false" customHeight="true" outlineLevel="0" collapsed="false">
      <c r="A25" s="27"/>
      <c r="B25" s="30"/>
      <c r="C25" s="29"/>
      <c r="D25" s="20" t="n">
        <f aca="false">IFERROR(B25*C25,0)</f>
        <v>0</v>
      </c>
      <c r="E25" s="25" t="n">
        <f aca="false">IFERROR(IF(B25=0,0,D25/B25),0)</f>
        <v>0</v>
      </c>
      <c r="F25" s="28"/>
      <c r="G25" s="28"/>
      <c r="H25" s="30"/>
    </row>
    <row r="26" customFormat="false" ht="15" hidden="false" customHeight="true" outlineLevel="0" collapsed="false">
      <c r="A26" s="27"/>
      <c r="B26" s="30"/>
      <c r="C26" s="29"/>
      <c r="D26" s="20" t="n">
        <f aca="false">IFERROR(B26*C26,0)</f>
        <v>0</v>
      </c>
      <c r="E26" s="25" t="n">
        <f aca="false">IFERROR(IF(B26=0,0,D26/B26),0)</f>
        <v>0</v>
      </c>
      <c r="F26" s="28"/>
      <c r="G26" s="28"/>
      <c r="H26" s="30"/>
    </row>
    <row r="27" customFormat="false" ht="15" hidden="false" customHeight="true" outlineLevel="0" collapsed="false">
      <c r="A27" s="27"/>
      <c r="B27" s="30"/>
      <c r="C27" s="29"/>
      <c r="D27" s="20" t="n">
        <f aca="false">IFERROR(B27*C27,0)</f>
        <v>0</v>
      </c>
      <c r="E27" s="25" t="n">
        <f aca="false">IFERROR(IF(B27=0,0,D27/B27),0)</f>
        <v>0</v>
      </c>
      <c r="F27" s="28"/>
      <c r="G27" s="28"/>
      <c r="H27" s="30"/>
    </row>
    <row r="28" customFormat="false" ht="15" hidden="false" customHeight="true" outlineLevel="0" collapsed="false">
      <c r="A28" s="27"/>
      <c r="B28" s="30"/>
      <c r="C28" s="29"/>
      <c r="D28" s="20" t="n">
        <f aca="false">IFERROR(B28*C28,0)</f>
        <v>0</v>
      </c>
      <c r="E28" s="25" t="n">
        <f aca="false">IFERROR(IF(B28=0,0,D28/B28),0)</f>
        <v>0</v>
      </c>
      <c r="F28" s="28"/>
      <c r="G28" s="28"/>
      <c r="H28" s="30"/>
    </row>
    <row r="29" customFormat="false" ht="15" hidden="false" customHeight="true" outlineLevel="0" collapsed="false">
      <c r="A29" s="27"/>
      <c r="B29" s="30"/>
      <c r="C29" s="29"/>
      <c r="D29" s="20" t="n">
        <f aca="false">IFERROR(B29*C29,0)</f>
        <v>0</v>
      </c>
      <c r="E29" s="25" t="n">
        <f aca="false">IFERROR(IF(B29=0,0,D29/B29),0)</f>
        <v>0</v>
      </c>
      <c r="F29" s="28"/>
      <c r="G29" s="28"/>
      <c r="H29" s="30"/>
    </row>
    <row r="30" customFormat="false" ht="15" hidden="false" customHeight="true" outlineLevel="0" collapsed="false">
      <c r="A30" s="27"/>
      <c r="B30" s="30"/>
      <c r="C30" s="29"/>
      <c r="D30" s="20" t="n">
        <f aca="false">IFERROR(B30*C30,0)</f>
        <v>0</v>
      </c>
      <c r="E30" s="25" t="n">
        <f aca="false">IFERROR(IF(B30=0,0,D30/B30),0)</f>
        <v>0</v>
      </c>
      <c r="F30" s="28"/>
      <c r="G30" s="28"/>
      <c r="H30" s="30"/>
    </row>
    <row r="31" customFormat="false" ht="15" hidden="false" customHeight="true" outlineLevel="0" collapsed="false">
      <c r="A31" s="27"/>
      <c r="B31" s="30"/>
      <c r="C31" s="29"/>
      <c r="D31" s="20" t="n">
        <f aca="false">IFERROR(B31*C31,0)</f>
        <v>0</v>
      </c>
      <c r="E31" s="25" t="n">
        <f aca="false">IFERROR(IF(B31=0,0,D31/B31),0)</f>
        <v>0</v>
      </c>
      <c r="F31" s="28"/>
      <c r="G31" s="28"/>
      <c r="H31" s="30"/>
    </row>
    <row r="32" customFormat="false" ht="15" hidden="false" customHeight="true" outlineLevel="0" collapsed="false">
      <c r="A32" s="27"/>
      <c r="B32" s="30"/>
      <c r="C32" s="29"/>
      <c r="D32" s="20" t="n">
        <f aca="false">IFERROR(B32*C32,0)</f>
        <v>0</v>
      </c>
      <c r="E32" s="25" t="n">
        <f aca="false">IFERROR(IF(B32=0,0,D32/B32),0)</f>
        <v>0</v>
      </c>
      <c r="F32" s="28"/>
      <c r="G32" s="28"/>
      <c r="H32" s="30"/>
    </row>
    <row r="33" customFormat="false" ht="15" hidden="false" customHeight="true" outlineLevel="0" collapsed="false">
      <c r="A33" s="27"/>
      <c r="B33" s="30"/>
      <c r="C33" s="29"/>
      <c r="D33" s="20" t="n">
        <f aca="false">IFERROR(B33*C33,0)</f>
        <v>0</v>
      </c>
      <c r="E33" s="25" t="n">
        <f aca="false">IFERROR(IF(B33=0,0,D33/B33),0)</f>
        <v>0</v>
      </c>
      <c r="F33" s="28"/>
      <c r="G33" s="28"/>
      <c r="H33" s="30"/>
    </row>
    <row r="34" customFormat="false" ht="15" hidden="false" customHeight="true" outlineLevel="0" collapsed="false">
      <c r="A34" s="27"/>
      <c r="B34" s="30"/>
      <c r="C34" s="29"/>
      <c r="D34" s="20" t="n">
        <f aca="false">IFERROR(B34*C34,0)</f>
        <v>0</v>
      </c>
      <c r="E34" s="25" t="n">
        <f aca="false">IFERROR(IF(B34=0,0,D34/B34),0)</f>
        <v>0</v>
      </c>
      <c r="F34" s="28"/>
      <c r="G34" s="28"/>
      <c r="H34" s="30"/>
    </row>
    <row r="35" customFormat="false" ht="15" hidden="false" customHeight="true" outlineLevel="0" collapsed="false">
      <c r="A35" s="27"/>
      <c r="B35" s="30"/>
      <c r="C35" s="29"/>
      <c r="D35" s="20" t="n">
        <f aca="false">IFERROR(B35*C35,0)</f>
        <v>0</v>
      </c>
      <c r="E35" s="25" t="n">
        <f aca="false">IFERROR(IF(B35=0,0,D35/B35),0)</f>
        <v>0</v>
      </c>
      <c r="F35" s="28"/>
      <c r="G35" s="28"/>
      <c r="H35" s="30"/>
    </row>
    <row r="36" customFormat="false" ht="15" hidden="false" customHeight="true" outlineLevel="0" collapsed="false">
      <c r="A36" s="27"/>
      <c r="B36" s="30"/>
      <c r="C36" s="29"/>
      <c r="D36" s="20" t="n">
        <f aca="false">IFERROR(B36*C36,0)</f>
        <v>0</v>
      </c>
      <c r="E36" s="25" t="n">
        <f aca="false">IFERROR(IF(B36=0,0,D36/B36),0)</f>
        <v>0</v>
      </c>
      <c r="F36" s="28"/>
      <c r="G36" s="28"/>
      <c r="H36" s="30"/>
    </row>
    <row r="37" customFormat="false" ht="15" hidden="false" customHeight="true" outlineLevel="0" collapsed="false">
      <c r="A37" s="27"/>
      <c r="B37" s="30"/>
      <c r="C37" s="29"/>
      <c r="D37" s="20" t="n">
        <f aca="false">IFERROR(B37*C37,0)</f>
        <v>0</v>
      </c>
      <c r="E37" s="25" t="n">
        <f aca="false">IFERROR(IF(B37=0,0,D37/B37),0)</f>
        <v>0</v>
      </c>
      <c r="F37" s="28"/>
      <c r="G37" s="28"/>
      <c r="H37" s="30"/>
    </row>
    <row r="38" customFormat="false" ht="15" hidden="false" customHeight="true" outlineLevel="0" collapsed="false">
      <c r="A38" s="27"/>
      <c r="B38" s="30"/>
      <c r="C38" s="29"/>
      <c r="D38" s="20" t="n">
        <f aca="false">IFERROR(B38*C38,0)</f>
        <v>0</v>
      </c>
      <c r="E38" s="25" t="n">
        <f aca="false">IFERROR(IF(B38=0,0,D38/B38),0)</f>
        <v>0</v>
      </c>
      <c r="F38" s="28"/>
      <c r="G38" s="28"/>
      <c r="H38" s="30"/>
    </row>
    <row r="39" customFormat="false" ht="15" hidden="false" customHeight="true" outlineLevel="0" collapsed="false">
      <c r="A39" s="27"/>
      <c r="B39" s="30"/>
      <c r="C39" s="29"/>
      <c r="D39" s="20" t="n">
        <f aca="false">IFERROR(B39*C39,0)</f>
        <v>0</v>
      </c>
      <c r="E39" s="25" t="n">
        <f aca="false">IFERROR(IF(B39=0,0,D39/B39),0)</f>
        <v>0</v>
      </c>
      <c r="F39" s="28"/>
      <c r="G39" s="28"/>
      <c r="H39" s="30"/>
    </row>
    <row r="40" customFormat="false" ht="15" hidden="false" customHeight="true" outlineLevel="0" collapsed="false">
      <c r="A40" s="27"/>
      <c r="B40" s="30"/>
      <c r="C40" s="29"/>
      <c r="D40" s="20" t="n">
        <f aca="false">IFERROR(B40*C40,0)</f>
        <v>0</v>
      </c>
      <c r="E40" s="25" t="n">
        <f aca="false">IFERROR(IF(B40=0,0,D40/B40),0)</f>
        <v>0</v>
      </c>
      <c r="F40" s="28"/>
      <c r="G40" s="28"/>
      <c r="H40" s="30"/>
    </row>
    <row r="41" customFormat="false" ht="15" hidden="false" customHeight="true" outlineLevel="0" collapsed="false">
      <c r="A41" s="27"/>
      <c r="B41" s="30"/>
      <c r="C41" s="29"/>
      <c r="D41" s="20" t="n">
        <f aca="false">IFERROR(B41*C41,0)</f>
        <v>0</v>
      </c>
      <c r="E41" s="25" t="n">
        <f aca="false">IFERROR(IF(B41=0,0,D41/B41),0)</f>
        <v>0</v>
      </c>
      <c r="F41" s="28"/>
      <c r="G41" s="28"/>
      <c r="H41" s="30"/>
    </row>
    <row r="42" customFormat="false" ht="15" hidden="false" customHeight="true" outlineLevel="0" collapsed="false">
      <c r="A42" s="27"/>
      <c r="B42" s="30"/>
      <c r="C42" s="29"/>
      <c r="D42" s="20" t="n">
        <f aca="false">IFERROR(B42*C42,0)</f>
        <v>0</v>
      </c>
      <c r="E42" s="25" t="n">
        <f aca="false">IFERROR(IF(B42=0,0,D42/B42),0)</f>
        <v>0</v>
      </c>
      <c r="F42" s="28"/>
      <c r="G42" s="28"/>
      <c r="H42" s="30"/>
    </row>
    <row r="43" customFormat="false" ht="15" hidden="false" customHeight="true" outlineLevel="0" collapsed="false">
      <c r="A43" s="27"/>
      <c r="B43" s="30"/>
      <c r="C43" s="29"/>
      <c r="D43" s="20" t="n">
        <f aca="false">IFERROR(B43*C43,0)</f>
        <v>0</v>
      </c>
      <c r="E43" s="25" t="n">
        <f aca="false">IFERROR(IF(B43=0,0,D43/B43),0)</f>
        <v>0</v>
      </c>
      <c r="F43" s="28"/>
      <c r="G43" s="28"/>
      <c r="H43" s="30"/>
    </row>
    <row r="44" customFormat="false" ht="15" hidden="false" customHeight="true" outlineLevel="0" collapsed="false">
      <c r="A44" s="27"/>
      <c r="B44" s="30"/>
      <c r="C44" s="29"/>
      <c r="D44" s="20" t="n">
        <f aca="false">IFERROR(B44*C44,0)</f>
        <v>0</v>
      </c>
      <c r="E44" s="25" t="n">
        <f aca="false">IFERROR(IF(B44=0,0,D44/B44),0)</f>
        <v>0</v>
      </c>
      <c r="F44" s="28"/>
      <c r="G44" s="28"/>
      <c r="H44" s="30"/>
    </row>
    <row r="45" customFormat="false" ht="15" hidden="false" customHeight="true" outlineLevel="0" collapsed="false">
      <c r="A45" s="27"/>
      <c r="B45" s="30"/>
      <c r="C45" s="29"/>
      <c r="D45" s="20" t="n">
        <f aca="false">IFERROR(B45*C45,0)</f>
        <v>0</v>
      </c>
      <c r="E45" s="25" t="n">
        <f aca="false">IFERROR(IF(B45=0,0,D45/B45),0)</f>
        <v>0</v>
      </c>
      <c r="F45" s="28"/>
      <c r="G45" s="28"/>
      <c r="H45" s="30"/>
    </row>
    <row r="46" customFormat="false" ht="15" hidden="false" customHeight="true" outlineLevel="0" collapsed="false">
      <c r="A46" s="27"/>
      <c r="B46" s="30"/>
      <c r="C46" s="29"/>
      <c r="D46" s="20" t="n">
        <f aca="false">IFERROR(B46*C46,0)</f>
        <v>0</v>
      </c>
      <c r="E46" s="25" t="n">
        <f aca="false">IFERROR(IF(B46=0,0,D46/B46),0)</f>
        <v>0</v>
      </c>
      <c r="F46" s="28"/>
      <c r="G46" s="28"/>
      <c r="H46" s="30"/>
    </row>
    <row r="47" customFormat="false" ht="15" hidden="false" customHeight="true" outlineLevel="0" collapsed="false">
      <c r="A47" s="27"/>
      <c r="B47" s="30"/>
      <c r="C47" s="29"/>
      <c r="D47" s="20" t="n">
        <f aca="false">IFERROR(B47*C47,0)</f>
        <v>0</v>
      </c>
      <c r="E47" s="25" t="n">
        <f aca="false">IFERROR(IF(B47=0,0,D47/B47),0)</f>
        <v>0</v>
      </c>
      <c r="F47" s="28"/>
      <c r="G47" s="28"/>
      <c r="H47" s="30"/>
    </row>
    <row r="48" customFormat="false" ht="15" hidden="false" customHeight="true" outlineLevel="0" collapsed="false">
      <c r="A48" s="27"/>
      <c r="B48" s="30"/>
      <c r="C48" s="29"/>
      <c r="D48" s="20" t="n">
        <f aca="false">IFERROR(B48*C48,0)</f>
        <v>0</v>
      </c>
      <c r="E48" s="25" t="n">
        <f aca="false">IFERROR(IF(B48=0,0,D48/B48),0)</f>
        <v>0</v>
      </c>
      <c r="F48" s="28"/>
      <c r="G48" s="28"/>
      <c r="H48" s="30"/>
    </row>
    <row r="49" customFormat="false" ht="15" hidden="false" customHeight="true" outlineLevel="0" collapsed="false">
      <c r="A49" s="27"/>
      <c r="B49" s="30"/>
      <c r="C49" s="29"/>
      <c r="D49" s="20" t="n">
        <f aca="false">IFERROR(B49*C49,0)</f>
        <v>0</v>
      </c>
      <c r="E49" s="25" t="n">
        <f aca="false">IFERROR(IF(B49=0,0,D49/B49),0)</f>
        <v>0</v>
      </c>
      <c r="F49" s="28"/>
      <c r="G49" s="28"/>
      <c r="H49" s="30"/>
    </row>
    <row r="50" customFormat="false" ht="15" hidden="false" customHeight="true" outlineLevel="0" collapsed="false">
      <c r="A50" s="27"/>
      <c r="B50" s="30"/>
      <c r="C50" s="29"/>
      <c r="D50" s="20" t="n">
        <f aca="false">IFERROR(B50*C50,0)</f>
        <v>0</v>
      </c>
      <c r="E50" s="25" t="n">
        <f aca="false">IFERROR(IF(B50=0,0,D50/B50),0)</f>
        <v>0</v>
      </c>
      <c r="F50" s="28"/>
      <c r="G50" s="28"/>
      <c r="H50" s="30"/>
    </row>
    <row r="51" customFormat="false" ht="15" hidden="false" customHeight="true" outlineLevel="0" collapsed="false">
      <c r="A51" s="27"/>
      <c r="B51" s="30"/>
      <c r="C51" s="29"/>
      <c r="D51" s="20" t="n">
        <f aca="false">IFERROR(B51*C51,0)</f>
        <v>0</v>
      </c>
      <c r="E51" s="25" t="n">
        <f aca="false">IFERROR(IF(B51=0,0,D51/B51),0)</f>
        <v>0</v>
      </c>
      <c r="F51" s="28"/>
      <c r="G51" s="28"/>
      <c r="H51" s="30"/>
    </row>
    <row r="52" customFormat="false" ht="15" hidden="false" customHeight="true" outlineLevel="0" collapsed="false">
      <c r="A52" s="27"/>
      <c r="B52" s="30"/>
      <c r="C52" s="29"/>
      <c r="D52" s="20" t="n">
        <f aca="false">IFERROR(B52*C52,0)</f>
        <v>0</v>
      </c>
      <c r="E52" s="25" t="n">
        <f aca="false">IFERROR(IF(B52=0,0,D52/B52),0)</f>
        <v>0</v>
      </c>
      <c r="F52" s="28"/>
      <c r="G52" s="28"/>
      <c r="H52" s="30"/>
    </row>
    <row r="53" customFormat="false" ht="15" hidden="false" customHeight="true" outlineLevel="0" collapsed="false">
      <c r="A53" s="27"/>
      <c r="B53" s="30"/>
      <c r="C53" s="29"/>
      <c r="D53" s="20" t="n">
        <f aca="false">IFERROR(B53*C53,0)</f>
        <v>0</v>
      </c>
      <c r="E53" s="25" t="n">
        <f aca="false">IFERROR(IF(B53=0,0,D53/B53),0)</f>
        <v>0</v>
      </c>
      <c r="F53" s="28"/>
      <c r="G53" s="28"/>
      <c r="H53" s="30"/>
    </row>
    <row r="54" customFormat="false" ht="15" hidden="false" customHeight="true" outlineLevel="0" collapsed="false">
      <c r="A54" s="27"/>
      <c r="B54" s="30"/>
      <c r="C54" s="29"/>
      <c r="D54" s="20" t="n">
        <f aca="false">IFERROR(B54*C54,0)</f>
        <v>0</v>
      </c>
      <c r="E54" s="25" t="n">
        <f aca="false">IFERROR(IF(B54=0,0,D54/B54),0)</f>
        <v>0</v>
      </c>
      <c r="F54" s="28"/>
      <c r="G54" s="28"/>
      <c r="H54" s="30"/>
    </row>
    <row r="55" customFormat="false" ht="15" hidden="false" customHeight="true" outlineLevel="0" collapsed="false">
      <c r="A55" s="27"/>
      <c r="B55" s="30"/>
      <c r="C55" s="29"/>
      <c r="D55" s="20" t="n">
        <f aca="false">IFERROR(B55*C55,0)</f>
        <v>0</v>
      </c>
      <c r="E55" s="25" t="n">
        <f aca="false">IFERROR(IF(B55=0,0,D55/B55),0)</f>
        <v>0</v>
      </c>
      <c r="F55" s="28"/>
      <c r="G55" s="28"/>
      <c r="H55" s="30"/>
    </row>
    <row r="56" customFormat="false" ht="15" hidden="false" customHeight="true" outlineLevel="0" collapsed="false">
      <c r="A56" s="27"/>
      <c r="B56" s="30"/>
      <c r="C56" s="29"/>
      <c r="D56" s="20" t="n">
        <f aca="false">IFERROR(B56*C56,0)</f>
        <v>0</v>
      </c>
      <c r="E56" s="25" t="n">
        <f aca="false">IFERROR(IF(B56=0,0,D56/B56),0)</f>
        <v>0</v>
      </c>
      <c r="F56" s="28"/>
      <c r="G56" s="28"/>
      <c r="H56" s="30"/>
    </row>
    <row r="57" customFormat="false" ht="15" hidden="false" customHeight="true" outlineLevel="0" collapsed="false">
      <c r="A57" s="27"/>
      <c r="B57" s="30"/>
      <c r="C57" s="29"/>
      <c r="D57" s="20" t="n">
        <f aca="false">IFERROR(B57*C57,0)</f>
        <v>0</v>
      </c>
      <c r="E57" s="25" t="n">
        <f aca="false">IFERROR(IF(B57=0,0,D57/B57),0)</f>
        <v>0</v>
      </c>
      <c r="F57" s="28"/>
      <c r="G57" s="28"/>
      <c r="H57" s="30"/>
    </row>
    <row r="58" customFormat="false" ht="15" hidden="false" customHeight="true" outlineLevel="0" collapsed="false">
      <c r="A58" s="27"/>
      <c r="B58" s="30"/>
      <c r="C58" s="29"/>
      <c r="D58" s="20" t="n">
        <f aca="false">IFERROR(B58*C58,0)</f>
        <v>0</v>
      </c>
      <c r="E58" s="25" t="n">
        <f aca="false">IFERROR(IF(B58=0,0,D58/B58),0)</f>
        <v>0</v>
      </c>
      <c r="F58" s="28"/>
      <c r="G58" s="28"/>
      <c r="H58" s="30"/>
    </row>
    <row r="59" customFormat="false" ht="15" hidden="false" customHeight="true" outlineLevel="0" collapsed="false">
      <c r="A59" s="27"/>
      <c r="B59" s="30"/>
      <c r="C59" s="29"/>
      <c r="D59" s="20" t="n">
        <f aca="false">IFERROR(B59*C59,0)</f>
        <v>0</v>
      </c>
      <c r="E59" s="25" t="n">
        <f aca="false">IFERROR(IF(B59=0,0,D59/B59),0)</f>
        <v>0</v>
      </c>
      <c r="F59" s="28"/>
      <c r="G59" s="28"/>
      <c r="H59" s="30"/>
    </row>
    <row r="60" customFormat="false" ht="15" hidden="false" customHeight="true" outlineLevel="0" collapsed="false">
      <c r="A60" s="27"/>
      <c r="B60" s="30"/>
      <c r="C60" s="29"/>
      <c r="D60" s="20" t="n">
        <f aca="false">IFERROR(B60*C60,0)</f>
        <v>0</v>
      </c>
      <c r="E60" s="25" t="n">
        <f aca="false">IFERROR(IF(B60=0,0,D60/B60),0)</f>
        <v>0</v>
      </c>
      <c r="F60" s="28"/>
      <c r="G60" s="28"/>
      <c r="H60" s="30"/>
    </row>
    <row r="61" customFormat="false" ht="15" hidden="false" customHeight="true" outlineLevel="0" collapsed="false">
      <c r="A61" s="27"/>
      <c r="B61" s="30"/>
      <c r="C61" s="29"/>
      <c r="D61" s="20" t="n">
        <f aca="false">IFERROR(B61*C61,0)</f>
        <v>0</v>
      </c>
      <c r="E61" s="25" t="n">
        <f aca="false">IFERROR(IF(B61=0,0,D61/B61),0)</f>
        <v>0</v>
      </c>
      <c r="F61" s="28"/>
      <c r="G61" s="28"/>
      <c r="H61" s="30"/>
    </row>
    <row r="62" customFormat="false" ht="15" hidden="false" customHeight="true" outlineLevel="0" collapsed="false">
      <c r="A62" s="27"/>
      <c r="B62" s="30"/>
      <c r="C62" s="29"/>
      <c r="D62" s="20" t="n">
        <f aca="false">IFERROR(B62*C62,0)</f>
        <v>0</v>
      </c>
      <c r="E62" s="25" t="n">
        <f aca="false">IFERROR(IF(B62=0,0,D62/B62),0)</f>
        <v>0</v>
      </c>
      <c r="F62" s="28"/>
      <c r="G62" s="28"/>
      <c r="H62" s="30"/>
    </row>
    <row r="63" customFormat="false" ht="15" hidden="false" customHeight="true" outlineLevel="0" collapsed="false">
      <c r="A63" s="27"/>
      <c r="B63" s="30"/>
      <c r="C63" s="29"/>
      <c r="D63" s="20" t="n">
        <f aca="false">IFERROR(B63*C63,0)</f>
        <v>0</v>
      </c>
      <c r="E63" s="25" t="n">
        <f aca="false">IFERROR(IF(B63=0,0,D63/B63),0)</f>
        <v>0</v>
      </c>
      <c r="F63" s="28"/>
      <c r="G63" s="28"/>
      <c r="H63" s="30"/>
    </row>
    <row r="64" customFormat="false" ht="15" hidden="false" customHeight="true" outlineLevel="0" collapsed="false">
      <c r="A64" s="27"/>
      <c r="B64" s="30"/>
      <c r="C64" s="29"/>
      <c r="D64" s="20" t="n">
        <f aca="false">IFERROR(B64*C64,0)</f>
        <v>0</v>
      </c>
      <c r="E64" s="25" t="n">
        <f aca="false">IFERROR(IF(B64=0,0,D64/B64),0)</f>
        <v>0</v>
      </c>
      <c r="F64" s="28"/>
      <c r="G64" s="28"/>
      <c r="H64" s="30"/>
    </row>
    <row r="65" customFormat="false" ht="15" hidden="false" customHeight="true" outlineLevel="0" collapsed="false">
      <c r="A65" s="27"/>
      <c r="B65" s="30"/>
      <c r="C65" s="29"/>
      <c r="D65" s="20" t="n">
        <f aca="false">IFERROR(B65*C65,0)</f>
        <v>0</v>
      </c>
      <c r="E65" s="25" t="n">
        <f aca="false">IFERROR(IF(B65=0,0,D65/B65),0)</f>
        <v>0</v>
      </c>
      <c r="F65" s="28"/>
      <c r="G65" s="28"/>
      <c r="H65" s="30"/>
    </row>
    <row r="66" customFormat="false" ht="15" hidden="false" customHeight="true" outlineLevel="0" collapsed="false">
      <c r="A66" s="27"/>
      <c r="B66" s="30"/>
      <c r="C66" s="29"/>
      <c r="D66" s="20" t="n">
        <f aca="false">IFERROR(B66*C66,0)</f>
        <v>0</v>
      </c>
      <c r="E66" s="25" t="n">
        <f aca="false">IFERROR(IF(B66=0,0,D66/B66),0)</f>
        <v>0</v>
      </c>
      <c r="F66" s="28"/>
      <c r="G66" s="28"/>
      <c r="H66" s="30"/>
    </row>
    <row r="67" customFormat="false" ht="15" hidden="false" customHeight="true" outlineLevel="0" collapsed="false">
      <c r="A67" s="27"/>
      <c r="B67" s="30"/>
      <c r="C67" s="29"/>
      <c r="D67" s="20" t="n">
        <f aca="false">IFERROR(B67*C67,0)</f>
        <v>0</v>
      </c>
      <c r="E67" s="25" t="n">
        <f aca="false">IFERROR(IF(B67=0,0,D67/B67),0)</f>
        <v>0</v>
      </c>
      <c r="F67" s="28"/>
      <c r="G67" s="28"/>
      <c r="H67" s="30"/>
    </row>
    <row r="68" customFormat="false" ht="15" hidden="false" customHeight="true" outlineLevel="0" collapsed="false">
      <c r="A68" s="27"/>
      <c r="B68" s="30"/>
      <c r="C68" s="29"/>
      <c r="D68" s="20" t="n">
        <f aca="false">IFERROR(B68*C68,0)</f>
        <v>0</v>
      </c>
      <c r="E68" s="25" t="n">
        <f aca="false">IFERROR(IF(B68=0,0,D68/B68),0)</f>
        <v>0</v>
      </c>
      <c r="F68" s="28"/>
      <c r="G68" s="28"/>
      <c r="H68" s="30"/>
    </row>
    <row r="69" customFormat="false" ht="15" hidden="false" customHeight="true" outlineLevel="0" collapsed="false">
      <c r="A69" s="27"/>
      <c r="B69" s="30"/>
      <c r="C69" s="29"/>
      <c r="D69" s="20" t="n">
        <f aca="false">IFERROR(B69*C69,0)</f>
        <v>0</v>
      </c>
      <c r="E69" s="25" t="n">
        <f aca="false">IFERROR(IF(B69=0,0,D69/B69),0)</f>
        <v>0</v>
      </c>
      <c r="F69" s="28"/>
      <c r="G69" s="28"/>
      <c r="H69" s="30"/>
    </row>
    <row r="70" customFormat="false" ht="15" hidden="false" customHeight="true" outlineLevel="0" collapsed="false">
      <c r="A70" s="27"/>
      <c r="B70" s="30"/>
      <c r="C70" s="29"/>
      <c r="D70" s="20" t="n">
        <f aca="false">IFERROR(B70*C70,0)</f>
        <v>0</v>
      </c>
      <c r="E70" s="25" t="n">
        <f aca="false">IFERROR(IF(B70=0,0,D70/B70),0)</f>
        <v>0</v>
      </c>
      <c r="F70" s="28"/>
      <c r="G70" s="28"/>
      <c r="H70" s="30"/>
    </row>
    <row r="71" customFormat="false" ht="15" hidden="false" customHeight="true" outlineLevel="0" collapsed="false">
      <c r="A71" s="27"/>
      <c r="B71" s="30"/>
      <c r="C71" s="29"/>
      <c r="D71" s="20" t="n">
        <f aca="false">IFERROR(B71*C71,0)</f>
        <v>0</v>
      </c>
      <c r="E71" s="25" t="n">
        <f aca="false">IFERROR(IF(B71=0,0,D71/B71),0)</f>
        <v>0</v>
      </c>
      <c r="F71" s="28"/>
      <c r="G71" s="28"/>
      <c r="H71" s="30"/>
    </row>
    <row r="72" customFormat="false" ht="15" hidden="false" customHeight="true" outlineLevel="0" collapsed="false">
      <c r="A72" s="27"/>
      <c r="B72" s="30"/>
      <c r="C72" s="29"/>
      <c r="D72" s="20" t="n">
        <f aca="false">IFERROR(B72*C72,0)</f>
        <v>0</v>
      </c>
      <c r="E72" s="25" t="n">
        <f aca="false">IFERROR(IF(B72=0,0,D72/B72),0)</f>
        <v>0</v>
      </c>
      <c r="F72" s="28"/>
      <c r="G72" s="28"/>
      <c r="H72" s="30"/>
    </row>
    <row r="73" customFormat="false" ht="15" hidden="false" customHeight="true" outlineLevel="0" collapsed="false">
      <c r="A73" s="27"/>
      <c r="B73" s="30"/>
      <c r="C73" s="29"/>
      <c r="D73" s="20" t="n">
        <f aca="false">IFERROR(B73*C73,0)</f>
        <v>0</v>
      </c>
      <c r="E73" s="25" t="n">
        <f aca="false">IFERROR(IF(B73=0,0,D73/B73),0)</f>
        <v>0</v>
      </c>
      <c r="F73" s="28"/>
      <c r="G73" s="28"/>
      <c r="H73" s="30"/>
    </row>
    <row r="74" customFormat="false" ht="15" hidden="false" customHeight="true" outlineLevel="0" collapsed="false">
      <c r="A74" s="27"/>
      <c r="B74" s="30"/>
      <c r="C74" s="29"/>
      <c r="D74" s="20" t="n">
        <f aca="false">IFERROR(B74*C74,0)</f>
        <v>0</v>
      </c>
      <c r="E74" s="25" t="n">
        <f aca="false">IFERROR(IF(B74=0,0,D74/B74),0)</f>
        <v>0</v>
      </c>
      <c r="F74" s="28"/>
      <c r="G74" s="28"/>
      <c r="H74" s="30"/>
    </row>
    <row r="75" customFormat="false" ht="15" hidden="false" customHeight="true" outlineLevel="0" collapsed="false">
      <c r="A75" s="27"/>
      <c r="B75" s="30"/>
      <c r="C75" s="29"/>
      <c r="D75" s="20" t="n">
        <f aca="false">IFERROR(B75*C75,0)</f>
        <v>0</v>
      </c>
      <c r="E75" s="25" t="n">
        <f aca="false">IFERROR(IF(B75=0,0,D75/B75),0)</f>
        <v>0</v>
      </c>
      <c r="F75" s="28"/>
      <c r="G75" s="28"/>
      <c r="H75" s="30"/>
    </row>
    <row r="76" customFormat="false" ht="15" hidden="false" customHeight="true" outlineLevel="0" collapsed="false">
      <c r="A76" s="27"/>
      <c r="B76" s="30"/>
      <c r="C76" s="29"/>
      <c r="D76" s="20" t="n">
        <f aca="false">IFERROR(B76*C76,0)</f>
        <v>0</v>
      </c>
      <c r="E76" s="25" t="n">
        <f aca="false">IFERROR(IF(B76=0,0,D76/B76),0)</f>
        <v>0</v>
      </c>
      <c r="F76" s="28"/>
      <c r="G76" s="28"/>
      <c r="H76" s="30"/>
    </row>
    <row r="77" customFormat="false" ht="15" hidden="false" customHeight="true" outlineLevel="0" collapsed="false">
      <c r="A77" s="27"/>
      <c r="B77" s="30"/>
      <c r="C77" s="29"/>
      <c r="D77" s="20" t="n">
        <f aca="false">IFERROR(B77*C77,0)</f>
        <v>0</v>
      </c>
      <c r="E77" s="25" t="n">
        <f aca="false">IFERROR(IF(B77=0,0,D77/B77),0)</f>
        <v>0</v>
      </c>
      <c r="F77" s="28"/>
      <c r="G77" s="28"/>
      <c r="H77" s="30"/>
    </row>
    <row r="78" customFormat="false" ht="15" hidden="false" customHeight="true" outlineLevel="0" collapsed="false">
      <c r="A78" s="27"/>
      <c r="B78" s="30"/>
      <c r="C78" s="29"/>
      <c r="D78" s="20" t="n">
        <f aca="false">IFERROR(B78*C78,0)</f>
        <v>0</v>
      </c>
      <c r="E78" s="25" t="n">
        <f aca="false">IFERROR(IF(B78=0,0,D78/B78),0)</f>
        <v>0</v>
      </c>
      <c r="F78" s="28"/>
      <c r="G78" s="28"/>
      <c r="H78" s="30"/>
    </row>
    <row r="79" customFormat="false" ht="15" hidden="false" customHeight="true" outlineLevel="0" collapsed="false">
      <c r="A79" s="27"/>
      <c r="B79" s="30"/>
      <c r="C79" s="29"/>
      <c r="D79" s="20" t="n">
        <f aca="false">IFERROR(B79*C79,0)</f>
        <v>0</v>
      </c>
      <c r="E79" s="25" t="n">
        <f aca="false">IFERROR(IF(B79=0,0,D79/B79),0)</f>
        <v>0</v>
      </c>
      <c r="F79" s="28"/>
      <c r="G79" s="28"/>
      <c r="H79" s="30"/>
    </row>
    <row r="80" customFormat="false" ht="15" hidden="false" customHeight="true" outlineLevel="0" collapsed="false">
      <c r="A80" s="27"/>
      <c r="B80" s="30"/>
      <c r="C80" s="29"/>
      <c r="D80" s="20" t="n">
        <f aca="false">IFERROR(B80*C80,0)</f>
        <v>0</v>
      </c>
      <c r="E80" s="25" t="n">
        <f aca="false">IFERROR(IF(B80=0,0,D80/B80),0)</f>
        <v>0</v>
      </c>
      <c r="F80" s="28"/>
      <c r="G80" s="28"/>
      <c r="H80" s="30"/>
    </row>
    <row r="81" customFormat="false" ht="15" hidden="false" customHeight="true" outlineLevel="0" collapsed="false">
      <c r="A81" s="27"/>
      <c r="B81" s="30"/>
      <c r="C81" s="29"/>
      <c r="D81" s="20" t="n">
        <f aca="false">IFERROR(B81*C81,0)</f>
        <v>0</v>
      </c>
      <c r="E81" s="25" t="n">
        <f aca="false">IFERROR(IF(B81=0,0,D81/B81),0)</f>
        <v>0</v>
      </c>
      <c r="F81" s="28"/>
      <c r="G81" s="28"/>
      <c r="H81" s="30"/>
    </row>
    <row r="82" customFormat="false" ht="15" hidden="false" customHeight="true" outlineLevel="0" collapsed="false">
      <c r="A82" s="27"/>
      <c r="B82" s="30"/>
      <c r="C82" s="29"/>
      <c r="D82" s="20" t="n">
        <f aca="false">IFERROR(B82*C82,0)</f>
        <v>0</v>
      </c>
      <c r="E82" s="25" t="n">
        <f aca="false">IFERROR(IF(B82=0,0,D82/B82),0)</f>
        <v>0</v>
      </c>
      <c r="F82" s="28"/>
      <c r="G82" s="28"/>
      <c r="H82" s="30"/>
    </row>
    <row r="83" customFormat="false" ht="15" hidden="false" customHeight="true" outlineLevel="0" collapsed="false">
      <c r="A83" s="27"/>
      <c r="B83" s="30"/>
      <c r="C83" s="29"/>
      <c r="D83" s="20" t="n">
        <f aca="false">IFERROR(B83*C83,0)</f>
        <v>0</v>
      </c>
      <c r="E83" s="25" t="n">
        <f aca="false">IFERROR(IF(B83=0,0,D83/B83),0)</f>
        <v>0</v>
      </c>
      <c r="F83" s="28"/>
      <c r="G83" s="28"/>
      <c r="H83" s="30"/>
    </row>
    <row r="84" customFormat="false" ht="15" hidden="false" customHeight="true" outlineLevel="0" collapsed="false">
      <c r="A84" s="27"/>
      <c r="B84" s="30"/>
      <c r="C84" s="29"/>
      <c r="D84" s="20" t="n">
        <f aca="false">IFERROR(B84*C84,0)</f>
        <v>0</v>
      </c>
      <c r="E84" s="25" t="n">
        <f aca="false">IFERROR(IF(B84=0,0,D84/B84),0)</f>
        <v>0</v>
      </c>
      <c r="F84" s="28"/>
      <c r="G84" s="28"/>
      <c r="H84" s="30"/>
    </row>
    <row r="85" customFormat="false" ht="15" hidden="false" customHeight="true" outlineLevel="0" collapsed="false">
      <c r="A85" s="27"/>
      <c r="B85" s="30"/>
      <c r="C85" s="29"/>
      <c r="D85" s="20" t="n">
        <f aca="false">IFERROR(B85*C85,0)</f>
        <v>0</v>
      </c>
      <c r="E85" s="25" t="n">
        <f aca="false">IFERROR(IF(B85=0,0,D85/B85),0)</f>
        <v>0</v>
      </c>
      <c r="F85" s="28"/>
      <c r="G85" s="28"/>
      <c r="H85" s="30"/>
    </row>
    <row r="86" customFormat="false" ht="15" hidden="false" customHeight="true" outlineLevel="0" collapsed="false">
      <c r="A86" s="27"/>
      <c r="B86" s="30"/>
      <c r="C86" s="29"/>
      <c r="D86" s="20" t="n">
        <f aca="false">IFERROR(B86*C86,0)</f>
        <v>0</v>
      </c>
      <c r="E86" s="25" t="n">
        <f aca="false">IFERROR(IF(B86=0,0,D86/B86),0)</f>
        <v>0</v>
      </c>
      <c r="F86" s="28"/>
      <c r="G86" s="28"/>
      <c r="H86" s="30"/>
    </row>
    <row r="87" customFormat="false" ht="15" hidden="false" customHeight="true" outlineLevel="0" collapsed="false">
      <c r="A87" s="27"/>
      <c r="B87" s="30"/>
      <c r="C87" s="29"/>
      <c r="D87" s="20" t="n">
        <f aca="false">IFERROR(B87*C87,0)</f>
        <v>0</v>
      </c>
      <c r="E87" s="25" t="n">
        <f aca="false">IFERROR(IF(B87=0,0,D87/B87),0)</f>
        <v>0</v>
      </c>
      <c r="F87" s="28"/>
      <c r="G87" s="28"/>
      <c r="H87" s="30"/>
    </row>
    <row r="88" customFormat="false" ht="15" hidden="false" customHeight="true" outlineLevel="0" collapsed="false">
      <c r="A88" s="27"/>
      <c r="B88" s="30"/>
      <c r="C88" s="29"/>
      <c r="D88" s="20" t="n">
        <f aca="false">IFERROR(B88*C88,0)</f>
        <v>0</v>
      </c>
      <c r="E88" s="25" t="n">
        <f aca="false">IFERROR(IF(B88=0,0,D88/B88),0)</f>
        <v>0</v>
      </c>
      <c r="F88" s="28"/>
      <c r="G88" s="28"/>
      <c r="H88" s="30"/>
    </row>
    <row r="89" customFormat="false" ht="15" hidden="false" customHeight="true" outlineLevel="0" collapsed="false">
      <c r="A89" s="27"/>
      <c r="B89" s="30"/>
      <c r="C89" s="29"/>
      <c r="D89" s="20" t="n">
        <f aca="false">IFERROR(B89*C89,0)</f>
        <v>0</v>
      </c>
      <c r="E89" s="25" t="n">
        <f aca="false">IFERROR(IF(B89=0,0,D89/B89),0)</f>
        <v>0</v>
      </c>
      <c r="F89" s="28"/>
      <c r="G89" s="28"/>
      <c r="H89" s="30"/>
    </row>
    <row r="90" customFormat="false" ht="15" hidden="false" customHeight="true" outlineLevel="0" collapsed="false">
      <c r="A90" s="27"/>
      <c r="B90" s="30"/>
      <c r="C90" s="29"/>
      <c r="D90" s="20" t="n">
        <f aca="false">IFERROR(B90*C90,0)</f>
        <v>0</v>
      </c>
      <c r="E90" s="25" t="n">
        <f aca="false">IFERROR(IF(B90=0,0,D90/B90),0)</f>
        <v>0</v>
      </c>
      <c r="F90" s="28"/>
      <c r="G90" s="28"/>
      <c r="H90" s="30"/>
    </row>
    <row r="91" customFormat="false" ht="15" hidden="false" customHeight="true" outlineLevel="0" collapsed="false">
      <c r="A91" s="27"/>
      <c r="B91" s="30"/>
      <c r="C91" s="29"/>
      <c r="D91" s="20" t="n">
        <f aca="false">IFERROR(B91*C91,0)</f>
        <v>0</v>
      </c>
      <c r="E91" s="25" t="n">
        <f aca="false">IFERROR(IF(B91=0,0,D91/B91),0)</f>
        <v>0</v>
      </c>
      <c r="F91" s="28"/>
      <c r="G91" s="28"/>
      <c r="H91" s="30"/>
    </row>
    <row r="92" customFormat="false" ht="15" hidden="false" customHeight="true" outlineLevel="0" collapsed="false">
      <c r="A92" s="27"/>
      <c r="B92" s="30"/>
      <c r="C92" s="29"/>
      <c r="D92" s="20" t="n">
        <f aca="false">IFERROR(B92*C92,0)</f>
        <v>0</v>
      </c>
      <c r="E92" s="25" t="n">
        <f aca="false">IFERROR(IF(B92=0,0,D92/B92),0)</f>
        <v>0</v>
      </c>
      <c r="F92" s="28"/>
      <c r="G92" s="28"/>
      <c r="H92" s="30"/>
    </row>
    <row r="93" customFormat="false" ht="15" hidden="false" customHeight="true" outlineLevel="0" collapsed="false">
      <c r="A93" s="27"/>
      <c r="B93" s="30"/>
      <c r="C93" s="29"/>
      <c r="D93" s="20" t="n">
        <f aca="false">IFERROR(B93*C93,0)</f>
        <v>0</v>
      </c>
      <c r="E93" s="25" t="n">
        <f aca="false">IFERROR(IF(B93=0,0,D93/B93),0)</f>
        <v>0</v>
      </c>
      <c r="F93" s="28"/>
      <c r="G93" s="28"/>
      <c r="H93" s="30"/>
    </row>
    <row r="94" customFormat="false" ht="15" hidden="false" customHeight="true" outlineLevel="0" collapsed="false">
      <c r="A94" s="27"/>
      <c r="B94" s="30"/>
      <c r="C94" s="29"/>
      <c r="D94" s="20" t="n">
        <f aca="false">IFERROR(B94*C94,0)</f>
        <v>0</v>
      </c>
      <c r="E94" s="25" t="n">
        <f aca="false">IFERROR(IF(B94=0,0,D94/B94),0)</f>
        <v>0</v>
      </c>
      <c r="F94" s="28"/>
      <c r="G94" s="28"/>
      <c r="H94" s="30"/>
    </row>
    <row r="95" customFormat="false" ht="15" hidden="false" customHeight="true" outlineLevel="0" collapsed="false">
      <c r="A95" s="27"/>
      <c r="B95" s="30"/>
      <c r="C95" s="29"/>
      <c r="D95" s="20" t="n">
        <f aca="false">IFERROR(B95*C95,0)</f>
        <v>0</v>
      </c>
      <c r="E95" s="25" t="n">
        <f aca="false">IFERROR(IF(B95=0,0,D95/B95),0)</f>
        <v>0</v>
      </c>
      <c r="F95" s="28"/>
      <c r="G95" s="28"/>
      <c r="H95" s="30"/>
    </row>
    <row r="96" customFormat="false" ht="15" hidden="false" customHeight="true" outlineLevel="0" collapsed="false">
      <c r="A96" s="27"/>
      <c r="B96" s="30"/>
      <c r="C96" s="29"/>
      <c r="D96" s="20" t="n">
        <f aca="false">IFERROR(B96*C96,0)</f>
        <v>0</v>
      </c>
      <c r="E96" s="25" t="n">
        <f aca="false">IFERROR(IF(B96=0,0,D96/B96),0)</f>
        <v>0</v>
      </c>
      <c r="F96" s="28"/>
      <c r="G96" s="28"/>
      <c r="H96" s="30"/>
    </row>
    <row r="97" customFormat="false" ht="15" hidden="false" customHeight="true" outlineLevel="0" collapsed="false">
      <c r="A97" s="27"/>
      <c r="B97" s="30"/>
      <c r="C97" s="29"/>
      <c r="D97" s="20" t="n">
        <f aca="false">IFERROR(B97*C97,0)</f>
        <v>0</v>
      </c>
      <c r="E97" s="25" t="n">
        <f aca="false">IFERROR(IF(B97=0,0,D97/B97),0)</f>
        <v>0</v>
      </c>
      <c r="F97" s="28"/>
      <c r="G97" s="28"/>
      <c r="H97" s="30"/>
    </row>
    <row r="98" customFormat="false" ht="15" hidden="false" customHeight="true" outlineLevel="0" collapsed="false">
      <c r="A98" s="27"/>
      <c r="B98" s="30"/>
      <c r="C98" s="29"/>
      <c r="D98" s="20" t="n">
        <f aca="false">IFERROR(B98*C98,0)</f>
        <v>0</v>
      </c>
      <c r="E98" s="25" t="n">
        <f aca="false">IFERROR(IF(B98=0,0,D98/B98),0)</f>
        <v>0</v>
      </c>
      <c r="F98" s="28"/>
      <c r="G98" s="28"/>
      <c r="H98" s="30"/>
    </row>
    <row r="99" customFormat="false" ht="15" hidden="false" customHeight="true" outlineLevel="0" collapsed="false">
      <c r="A99" s="27"/>
      <c r="B99" s="30"/>
      <c r="C99" s="29"/>
      <c r="D99" s="20" t="n">
        <f aca="false">IFERROR(B99*C99,0)</f>
        <v>0</v>
      </c>
      <c r="E99" s="25" t="n">
        <f aca="false">IFERROR(IF(B99=0,0,D99/B99),0)</f>
        <v>0</v>
      </c>
      <c r="F99" s="28"/>
      <c r="G99" s="28"/>
      <c r="H99" s="30"/>
    </row>
    <row r="100" customFormat="false" ht="15" hidden="false" customHeight="true" outlineLevel="0" collapsed="false">
      <c r="A100" s="27"/>
      <c r="B100" s="30"/>
      <c r="C100" s="29"/>
      <c r="D100" s="20" t="n">
        <f aca="false">IFERROR(B100*C100,0)</f>
        <v>0</v>
      </c>
      <c r="E100" s="25" t="n">
        <f aca="false">IFERROR(IF(B100=0,0,D100/B100),0)</f>
        <v>0</v>
      </c>
      <c r="F100" s="28"/>
      <c r="G100" s="28"/>
      <c r="H100" s="30"/>
    </row>
    <row r="101" customFormat="false" ht="15" hidden="false" customHeight="true" outlineLevel="0" collapsed="false">
      <c r="A101" s="27"/>
      <c r="B101" s="30"/>
      <c r="C101" s="29"/>
      <c r="D101" s="20" t="n">
        <f aca="false">IFERROR(B101*C101,0)</f>
        <v>0</v>
      </c>
      <c r="E101" s="25" t="n">
        <f aca="false">IFERROR(IF(B101=0,0,D101/B101),0)</f>
        <v>0</v>
      </c>
      <c r="F101" s="28"/>
      <c r="G101" s="28"/>
      <c r="H101" s="30"/>
    </row>
    <row r="102" customFormat="false" ht="15" hidden="false" customHeight="true" outlineLevel="0" collapsed="false">
      <c r="A102" s="27"/>
      <c r="B102" s="30"/>
      <c r="C102" s="29"/>
      <c r="D102" s="20" t="n">
        <f aca="false">IFERROR(B102*C102,0)</f>
        <v>0</v>
      </c>
      <c r="E102" s="25" t="n">
        <f aca="false">IFERROR(IF(B102=0,0,D102/B102),0)</f>
        <v>0</v>
      </c>
      <c r="F102" s="28"/>
      <c r="G102" s="28"/>
      <c r="H102" s="30"/>
    </row>
    <row r="103" customFormat="false" ht="15" hidden="false" customHeight="true" outlineLevel="0" collapsed="false">
      <c r="A103" s="27"/>
      <c r="B103" s="30"/>
      <c r="C103" s="29"/>
      <c r="D103" s="20" t="n">
        <f aca="false">IFERROR(B103*C103,0)</f>
        <v>0</v>
      </c>
      <c r="E103" s="25" t="n">
        <f aca="false">IFERROR(IF(B103=0,0,D103/B103),0)</f>
        <v>0</v>
      </c>
      <c r="F103" s="28"/>
      <c r="G103" s="28"/>
      <c r="H103" s="30"/>
    </row>
    <row r="104" customFormat="false" ht="15" hidden="false" customHeight="true" outlineLevel="0" collapsed="false">
      <c r="A104" s="27"/>
      <c r="B104" s="30"/>
      <c r="C104" s="29"/>
      <c r="D104" s="20" t="n">
        <f aca="false">IFERROR(B104*C104,0)</f>
        <v>0</v>
      </c>
      <c r="E104" s="25" t="n">
        <f aca="false">IFERROR(IF(B104=0,0,D104/B104),0)</f>
        <v>0</v>
      </c>
      <c r="F104" s="28"/>
      <c r="G104" s="28"/>
      <c r="H104" s="30"/>
    </row>
    <row r="105" customFormat="false" ht="15" hidden="false" customHeight="true" outlineLevel="0" collapsed="false">
      <c r="A105" s="27"/>
      <c r="B105" s="30"/>
      <c r="C105" s="29"/>
      <c r="D105" s="20" t="n">
        <f aca="false">IFERROR(B105*C105,0)</f>
        <v>0</v>
      </c>
      <c r="E105" s="25" t="n">
        <f aca="false">IFERROR(IF(B105=0,0,D105/B105),0)</f>
        <v>0</v>
      </c>
      <c r="F105" s="28"/>
      <c r="G105" s="28"/>
      <c r="H105" s="30"/>
    </row>
    <row r="106" customFormat="false" ht="15" hidden="false" customHeight="true" outlineLevel="0" collapsed="false">
      <c r="A106" s="27"/>
      <c r="B106" s="30"/>
      <c r="C106" s="29"/>
      <c r="D106" s="20" t="n">
        <f aca="false">IFERROR(B106*C106,0)</f>
        <v>0</v>
      </c>
      <c r="E106" s="25" t="n">
        <f aca="false">IFERROR(IF(B106=0,0,D106/B106),0)</f>
        <v>0</v>
      </c>
      <c r="F106" s="28"/>
      <c r="G106" s="28"/>
      <c r="H106" s="30"/>
    </row>
    <row r="107" customFormat="false" ht="15" hidden="false" customHeight="true" outlineLevel="0" collapsed="false">
      <c r="A107" s="27"/>
      <c r="B107" s="30"/>
      <c r="C107" s="29"/>
      <c r="D107" s="20" t="n">
        <f aca="false">IFERROR(B107*C107,0)</f>
        <v>0</v>
      </c>
      <c r="E107" s="25" t="n">
        <f aca="false">IFERROR(IF(B107=0,0,D107/B107),0)</f>
        <v>0</v>
      </c>
      <c r="F107" s="28"/>
      <c r="G107" s="28"/>
      <c r="H107" s="30"/>
    </row>
    <row r="108" customFormat="false" ht="15" hidden="false" customHeight="true" outlineLevel="0" collapsed="false">
      <c r="A108" s="27"/>
      <c r="B108" s="30"/>
      <c r="C108" s="29"/>
      <c r="D108" s="20" t="n">
        <f aca="false">IFERROR(B108*C108,0)</f>
        <v>0</v>
      </c>
      <c r="E108" s="25" t="n">
        <f aca="false">IFERROR(IF(B108=0,0,D108/B108),0)</f>
        <v>0</v>
      </c>
      <c r="F108" s="28"/>
      <c r="G108" s="28"/>
      <c r="H108" s="30"/>
    </row>
    <row r="109" customFormat="false" ht="15" hidden="false" customHeight="true" outlineLevel="0" collapsed="false">
      <c r="A109" s="27"/>
      <c r="B109" s="30"/>
      <c r="C109" s="29"/>
      <c r="D109" s="20" t="n">
        <f aca="false">IFERROR(B109*C109,0)</f>
        <v>0</v>
      </c>
      <c r="E109" s="25" t="n">
        <f aca="false">IFERROR(IF(B109=0,0,D109/B109),0)</f>
        <v>0</v>
      </c>
      <c r="F109" s="28"/>
      <c r="G109" s="28"/>
      <c r="H109" s="30"/>
    </row>
    <row r="110" customFormat="false" ht="15" hidden="false" customHeight="true" outlineLevel="0" collapsed="false">
      <c r="A110" s="27"/>
      <c r="B110" s="30"/>
      <c r="C110" s="29"/>
      <c r="D110" s="20" t="n">
        <f aca="false">IFERROR(B110*C110,0)</f>
        <v>0</v>
      </c>
      <c r="E110" s="25" t="n">
        <f aca="false">IFERROR(IF(B110=0,0,D110/B110),0)</f>
        <v>0</v>
      </c>
      <c r="F110" s="28"/>
      <c r="G110" s="28"/>
      <c r="H110" s="30"/>
    </row>
    <row r="111" customFormat="false" ht="15" hidden="false" customHeight="true" outlineLevel="0" collapsed="false">
      <c r="A111" s="27"/>
      <c r="B111" s="30"/>
      <c r="C111" s="29"/>
      <c r="D111" s="20" t="n">
        <f aca="false">IFERROR(B111*C111,0)</f>
        <v>0</v>
      </c>
      <c r="E111" s="25" t="n">
        <f aca="false">IFERROR(IF(B111=0,0,D111/B111),0)</f>
        <v>0</v>
      </c>
      <c r="F111" s="28"/>
      <c r="G111" s="28"/>
      <c r="H111" s="30"/>
    </row>
    <row r="112" customFormat="false" ht="15" hidden="false" customHeight="true" outlineLevel="0" collapsed="false">
      <c r="A112" s="27"/>
      <c r="B112" s="30"/>
      <c r="C112" s="29"/>
      <c r="D112" s="20" t="n">
        <f aca="false">IFERROR(B112*C112,0)</f>
        <v>0</v>
      </c>
      <c r="E112" s="25" t="n">
        <f aca="false">IFERROR(IF(B112=0,0,D112/B112),0)</f>
        <v>0</v>
      </c>
      <c r="F112" s="28"/>
      <c r="G112" s="28"/>
      <c r="H112" s="30"/>
    </row>
    <row r="113" customFormat="false" ht="15" hidden="false" customHeight="true" outlineLevel="0" collapsed="false">
      <c r="A113" s="27"/>
      <c r="B113" s="30"/>
      <c r="C113" s="29"/>
      <c r="D113" s="20" t="n">
        <f aca="false">IFERROR(B113*C113,0)</f>
        <v>0</v>
      </c>
      <c r="E113" s="25" t="n">
        <f aca="false">IFERROR(IF(B113=0,0,D113/B113),0)</f>
        <v>0</v>
      </c>
      <c r="F113" s="28"/>
      <c r="G113" s="28"/>
      <c r="H113" s="30"/>
    </row>
    <row r="114" customFormat="false" ht="15" hidden="false" customHeight="true" outlineLevel="0" collapsed="false">
      <c r="A114" s="27"/>
      <c r="B114" s="30"/>
      <c r="C114" s="29"/>
      <c r="D114" s="20" t="n">
        <f aca="false">IFERROR(B114*C114,0)</f>
        <v>0</v>
      </c>
      <c r="E114" s="25" t="n">
        <f aca="false">IFERROR(IF(B114=0,0,D114/B114),0)</f>
        <v>0</v>
      </c>
      <c r="F114" s="28"/>
      <c r="G114" s="28"/>
      <c r="H114" s="30"/>
    </row>
    <row r="115" customFormat="false" ht="15" hidden="false" customHeight="true" outlineLevel="0" collapsed="false">
      <c r="A115" s="27"/>
      <c r="B115" s="30"/>
      <c r="C115" s="29"/>
      <c r="D115" s="20" t="n">
        <f aca="false">IFERROR(B115*C115,0)</f>
        <v>0</v>
      </c>
      <c r="E115" s="25" t="n">
        <f aca="false">IFERROR(IF(B115=0,0,D115/B115),0)</f>
        <v>0</v>
      </c>
      <c r="F115" s="28"/>
      <c r="G115" s="28"/>
      <c r="H115" s="30"/>
    </row>
    <row r="116" customFormat="false" ht="15" hidden="false" customHeight="true" outlineLevel="0" collapsed="false">
      <c r="A116" s="27"/>
      <c r="B116" s="30"/>
      <c r="C116" s="29"/>
      <c r="D116" s="20" t="n">
        <f aca="false">IFERROR(B116*C116,0)</f>
        <v>0</v>
      </c>
      <c r="E116" s="25" t="n">
        <f aca="false">IFERROR(IF(B116=0,0,D116/B116),0)</f>
        <v>0</v>
      </c>
      <c r="F116" s="28"/>
      <c r="G116" s="28"/>
      <c r="H116" s="30"/>
    </row>
    <row r="117" customFormat="false" ht="15" hidden="false" customHeight="true" outlineLevel="0" collapsed="false">
      <c r="A117" s="27"/>
      <c r="B117" s="30"/>
      <c r="C117" s="29"/>
      <c r="D117" s="20" t="n">
        <f aca="false">IFERROR(B117*C117,0)</f>
        <v>0</v>
      </c>
      <c r="E117" s="25" t="n">
        <f aca="false">IFERROR(IF(B117=0,0,D117/B117),0)</f>
        <v>0</v>
      </c>
      <c r="F117" s="28"/>
      <c r="G117" s="28"/>
      <c r="H117" s="30"/>
    </row>
    <row r="118" customFormat="false" ht="15" hidden="false" customHeight="true" outlineLevel="0" collapsed="false">
      <c r="A118" s="27"/>
      <c r="B118" s="30"/>
      <c r="C118" s="29"/>
      <c r="D118" s="20" t="n">
        <f aca="false">IFERROR(B118*C118,0)</f>
        <v>0</v>
      </c>
      <c r="E118" s="25" t="n">
        <f aca="false">IFERROR(IF(B118=0,0,D118/B118),0)</f>
        <v>0</v>
      </c>
      <c r="F118" s="28"/>
      <c r="G118" s="28"/>
      <c r="H118" s="30"/>
    </row>
    <row r="119" customFormat="false" ht="15" hidden="false" customHeight="true" outlineLevel="0" collapsed="false">
      <c r="A119" s="27"/>
      <c r="B119" s="30"/>
      <c r="C119" s="29"/>
      <c r="D119" s="20" t="n">
        <f aca="false">IFERROR(B119*C119,0)</f>
        <v>0</v>
      </c>
      <c r="E119" s="25" t="n">
        <f aca="false">IFERROR(IF(B119=0,0,D119/B119),0)</f>
        <v>0</v>
      </c>
      <c r="F119" s="28"/>
      <c r="G119" s="28"/>
      <c r="H119" s="30"/>
    </row>
    <row r="120" customFormat="false" ht="15" hidden="false" customHeight="true" outlineLevel="0" collapsed="false">
      <c r="A120" s="27"/>
      <c r="B120" s="30"/>
      <c r="C120" s="29"/>
      <c r="D120" s="20" t="n">
        <f aca="false">IFERROR(B120*C120,0)</f>
        <v>0</v>
      </c>
      <c r="E120" s="25" t="n">
        <f aca="false">IFERROR(IF(B120=0,0,D120/B120),0)</f>
        <v>0</v>
      </c>
      <c r="F120" s="28"/>
      <c r="G120" s="28"/>
      <c r="H120" s="30"/>
    </row>
    <row r="121" customFormat="false" ht="15" hidden="false" customHeight="true" outlineLevel="0" collapsed="false">
      <c r="A121" s="27"/>
      <c r="B121" s="30"/>
      <c r="C121" s="29"/>
      <c r="D121" s="20" t="n">
        <f aca="false">IFERROR(B121*C121,0)</f>
        <v>0</v>
      </c>
      <c r="E121" s="25" t="n">
        <f aca="false">IFERROR(IF(B121=0,0,D121/B121),0)</f>
        <v>0</v>
      </c>
      <c r="F121" s="28"/>
      <c r="G121" s="28"/>
      <c r="H121" s="30"/>
    </row>
    <row r="122" customFormat="false" ht="15" hidden="false" customHeight="true" outlineLevel="0" collapsed="false">
      <c r="A122" s="27"/>
      <c r="B122" s="30"/>
      <c r="C122" s="29"/>
      <c r="D122" s="20" t="n">
        <f aca="false">IFERROR(B122*C122,0)</f>
        <v>0</v>
      </c>
      <c r="E122" s="25" t="n">
        <f aca="false">IFERROR(IF(B122=0,0,D122/B122),0)</f>
        <v>0</v>
      </c>
      <c r="F122" s="28"/>
      <c r="G122" s="28"/>
      <c r="H122" s="30"/>
    </row>
    <row r="123" customFormat="false" ht="15" hidden="false" customHeight="true" outlineLevel="0" collapsed="false">
      <c r="A123" s="27"/>
      <c r="B123" s="30"/>
      <c r="C123" s="29"/>
      <c r="D123" s="20" t="n">
        <f aca="false">IFERROR(B123*C123,0)</f>
        <v>0</v>
      </c>
      <c r="E123" s="25" t="n">
        <f aca="false">IFERROR(IF(B123=0,0,D123/B123),0)</f>
        <v>0</v>
      </c>
      <c r="F123" s="28"/>
      <c r="G123" s="28"/>
      <c r="H123" s="30"/>
    </row>
    <row r="124" customFormat="false" ht="15" hidden="false" customHeight="true" outlineLevel="0" collapsed="false">
      <c r="A124" s="27"/>
      <c r="B124" s="30"/>
      <c r="C124" s="29"/>
      <c r="D124" s="20" t="n">
        <f aca="false">IFERROR(B124*C124,0)</f>
        <v>0</v>
      </c>
      <c r="E124" s="25" t="n">
        <f aca="false">IFERROR(IF(B124=0,0,D124/B124),0)</f>
        <v>0</v>
      </c>
      <c r="F124" s="28"/>
      <c r="G124" s="28"/>
      <c r="H124" s="30"/>
    </row>
    <row r="125" customFormat="false" ht="15" hidden="false" customHeight="true" outlineLevel="0" collapsed="false">
      <c r="A125" s="27"/>
      <c r="B125" s="30"/>
      <c r="C125" s="29"/>
      <c r="D125" s="20" t="n">
        <f aca="false">IFERROR(B125*C125,0)</f>
        <v>0</v>
      </c>
      <c r="E125" s="25" t="n">
        <f aca="false">IFERROR(IF(B125=0,0,D125/B125),0)</f>
        <v>0</v>
      </c>
      <c r="F125" s="28"/>
      <c r="G125" s="28"/>
      <c r="H125" s="30"/>
    </row>
    <row r="126" customFormat="false" ht="15" hidden="false" customHeight="true" outlineLevel="0" collapsed="false">
      <c r="A126" s="27"/>
      <c r="B126" s="30"/>
      <c r="C126" s="29"/>
      <c r="D126" s="20" t="n">
        <f aca="false">IFERROR(B126*C126,0)</f>
        <v>0</v>
      </c>
      <c r="E126" s="25" t="n">
        <f aca="false">IFERROR(IF(B126=0,0,D126/B126),0)</f>
        <v>0</v>
      </c>
      <c r="F126" s="28"/>
      <c r="G126" s="28"/>
      <c r="H126" s="30"/>
    </row>
    <row r="127" customFormat="false" ht="15" hidden="false" customHeight="true" outlineLevel="0" collapsed="false">
      <c r="A127" s="27"/>
      <c r="B127" s="30"/>
      <c r="C127" s="29"/>
      <c r="D127" s="20" t="n">
        <f aca="false">IFERROR(B127*C127,0)</f>
        <v>0</v>
      </c>
      <c r="E127" s="25" t="n">
        <f aca="false">IFERROR(IF(B127=0,0,D127/B127),0)</f>
        <v>0</v>
      </c>
      <c r="F127" s="28"/>
      <c r="G127" s="28"/>
      <c r="H127" s="30"/>
    </row>
    <row r="128" customFormat="false" ht="15" hidden="false" customHeight="true" outlineLevel="0" collapsed="false">
      <c r="A128" s="27"/>
      <c r="B128" s="30"/>
      <c r="C128" s="29"/>
      <c r="D128" s="20" t="n">
        <f aca="false">IFERROR(B128*C128,0)</f>
        <v>0</v>
      </c>
      <c r="E128" s="25" t="n">
        <f aca="false">IFERROR(IF(B128=0,0,D128/B128),0)</f>
        <v>0</v>
      </c>
      <c r="F128" s="28"/>
      <c r="G128" s="28"/>
      <c r="H128" s="30"/>
    </row>
    <row r="129" customFormat="false" ht="15" hidden="false" customHeight="true" outlineLevel="0" collapsed="false">
      <c r="A129" s="27"/>
      <c r="B129" s="30"/>
      <c r="C129" s="29"/>
      <c r="D129" s="20" t="n">
        <f aca="false">IFERROR(B129*C129,0)</f>
        <v>0</v>
      </c>
      <c r="E129" s="25" t="n">
        <f aca="false">IFERROR(IF(B129=0,0,D129/B129),0)</f>
        <v>0</v>
      </c>
      <c r="F129" s="28"/>
      <c r="G129" s="28"/>
      <c r="H129" s="30"/>
    </row>
    <row r="130" customFormat="false" ht="15" hidden="false" customHeight="true" outlineLevel="0" collapsed="false">
      <c r="A130" s="27"/>
      <c r="B130" s="30"/>
      <c r="C130" s="29"/>
      <c r="D130" s="20" t="n">
        <f aca="false">IFERROR(B130*C130,0)</f>
        <v>0</v>
      </c>
      <c r="E130" s="25" t="n">
        <f aca="false">IFERROR(IF(B130=0,0,D130/B130),0)</f>
        <v>0</v>
      </c>
      <c r="F130" s="28"/>
      <c r="G130" s="28"/>
      <c r="H130" s="30"/>
    </row>
    <row r="131" customFormat="false" ht="15" hidden="false" customHeight="true" outlineLevel="0" collapsed="false">
      <c r="A131" s="27"/>
      <c r="B131" s="30"/>
      <c r="C131" s="29"/>
      <c r="D131" s="20" t="n">
        <f aca="false">IFERROR(B131*C131,0)</f>
        <v>0</v>
      </c>
      <c r="E131" s="25" t="n">
        <f aca="false">IFERROR(IF(B131=0,0,D131/B131),0)</f>
        <v>0</v>
      </c>
      <c r="F131" s="28"/>
      <c r="G131" s="28"/>
      <c r="H131" s="30"/>
    </row>
    <row r="132" customFormat="false" ht="15" hidden="false" customHeight="true" outlineLevel="0" collapsed="false">
      <c r="A132" s="27"/>
      <c r="B132" s="30"/>
      <c r="C132" s="29"/>
      <c r="D132" s="20" t="n">
        <f aca="false">IFERROR(B132*C132,0)</f>
        <v>0</v>
      </c>
      <c r="E132" s="25" t="n">
        <f aca="false">IFERROR(IF(B132=0,0,D132/B132),0)</f>
        <v>0</v>
      </c>
      <c r="F132" s="28"/>
      <c r="G132" s="28"/>
      <c r="H132" s="30"/>
    </row>
    <row r="133" customFormat="false" ht="15" hidden="false" customHeight="true" outlineLevel="0" collapsed="false">
      <c r="A133" s="27"/>
      <c r="B133" s="30"/>
      <c r="C133" s="29"/>
      <c r="D133" s="20" t="n">
        <f aca="false">IFERROR(B133*C133,0)</f>
        <v>0</v>
      </c>
      <c r="E133" s="25" t="n">
        <f aca="false">IFERROR(IF(B133=0,0,D133/B133),0)</f>
        <v>0</v>
      </c>
      <c r="F133" s="28"/>
      <c r="G133" s="28"/>
      <c r="H133" s="30"/>
    </row>
    <row r="134" customFormat="false" ht="15" hidden="false" customHeight="true" outlineLevel="0" collapsed="false">
      <c r="A134" s="27"/>
      <c r="B134" s="30"/>
      <c r="C134" s="29"/>
      <c r="D134" s="20" t="n">
        <f aca="false">IFERROR(B134*C134,0)</f>
        <v>0</v>
      </c>
      <c r="E134" s="25" t="n">
        <f aca="false">IFERROR(IF(B134=0,0,D134/B134),0)</f>
        <v>0</v>
      </c>
      <c r="F134" s="28"/>
      <c r="G134" s="28"/>
      <c r="H134" s="30"/>
    </row>
    <row r="135" customFormat="false" ht="15" hidden="false" customHeight="true" outlineLevel="0" collapsed="false">
      <c r="A135" s="27"/>
      <c r="B135" s="30"/>
      <c r="C135" s="29"/>
      <c r="D135" s="20" t="n">
        <f aca="false">IFERROR(B135*C135,0)</f>
        <v>0</v>
      </c>
      <c r="E135" s="25" t="n">
        <f aca="false">IFERROR(IF(B135=0,0,D135/B135),0)</f>
        <v>0</v>
      </c>
      <c r="F135" s="28"/>
      <c r="G135" s="28"/>
      <c r="H135" s="30"/>
    </row>
    <row r="136" customFormat="false" ht="15" hidden="false" customHeight="true" outlineLevel="0" collapsed="false">
      <c r="A136" s="27"/>
      <c r="B136" s="30"/>
      <c r="C136" s="29"/>
      <c r="D136" s="20" t="n">
        <f aca="false">IFERROR(B136*C136,0)</f>
        <v>0</v>
      </c>
      <c r="E136" s="25" t="n">
        <f aca="false">IFERROR(IF(B136=0,0,D136/B136),0)</f>
        <v>0</v>
      </c>
      <c r="F136" s="28"/>
      <c r="G136" s="28"/>
      <c r="H136" s="30"/>
    </row>
    <row r="137" customFormat="false" ht="15" hidden="false" customHeight="true" outlineLevel="0" collapsed="false">
      <c r="A137" s="27"/>
      <c r="B137" s="30"/>
      <c r="C137" s="29"/>
      <c r="D137" s="20" t="n">
        <f aca="false">IFERROR(B137*C137,0)</f>
        <v>0</v>
      </c>
      <c r="E137" s="25" t="n">
        <f aca="false">IFERROR(IF(B137=0,0,D137/B137),0)</f>
        <v>0</v>
      </c>
      <c r="F137" s="28"/>
      <c r="G137" s="28"/>
      <c r="H137" s="30"/>
    </row>
    <row r="138" customFormat="false" ht="15" hidden="false" customHeight="true" outlineLevel="0" collapsed="false">
      <c r="A138" s="27"/>
      <c r="B138" s="30"/>
      <c r="C138" s="29"/>
      <c r="D138" s="20" t="n">
        <f aca="false">IFERROR(B138*C138,0)</f>
        <v>0</v>
      </c>
      <c r="E138" s="25" t="n">
        <f aca="false">IFERROR(IF(B138=0,0,D138/B138),0)</f>
        <v>0</v>
      </c>
      <c r="F138" s="28"/>
      <c r="G138" s="28"/>
      <c r="H138" s="30"/>
    </row>
    <row r="139" customFormat="false" ht="15" hidden="false" customHeight="true" outlineLevel="0" collapsed="false">
      <c r="A139" s="27"/>
      <c r="B139" s="30"/>
      <c r="C139" s="29"/>
      <c r="D139" s="20" t="n">
        <f aca="false">IFERROR(B139*C139,0)</f>
        <v>0</v>
      </c>
      <c r="E139" s="25" t="n">
        <f aca="false">IFERROR(IF(B139=0,0,D139/B139),0)</f>
        <v>0</v>
      </c>
      <c r="F139" s="28"/>
      <c r="G139" s="28"/>
      <c r="H139" s="30"/>
    </row>
    <row r="140" customFormat="false" ht="15" hidden="false" customHeight="true" outlineLevel="0" collapsed="false">
      <c r="A140" s="27"/>
      <c r="B140" s="30"/>
      <c r="C140" s="29"/>
      <c r="D140" s="20" t="n">
        <f aca="false">IFERROR(B140*C140,0)</f>
        <v>0</v>
      </c>
      <c r="E140" s="25" t="n">
        <f aca="false">IFERROR(IF(B140=0,0,D140/B140),0)</f>
        <v>0</v>
      </c>
      <c r="F140" s="28"/>
      <c r="G140" s="28"/>
      <c r="H140" s="30"/>
    </row>
    <row r="141" customFormat="false" ht="15" hidden="false" customHeight="true" outlineLevel="0" collapsed="false">
      <c r="A141" s="27"/>
      <c r="B141" s="30"/>
      <c r="C141" s="29"/>
      <c r="D141" s="20" t="n">
        <f aca="false">IFERROR(B141*C141,0)</f>
        <v>0</v>
      </c>
      <c r="E141" s="25" t="n">
        <f aca="false">IFERROR(IF(B141=0,0,D141/B141),0)</f>
        <v>0</v>
      </c>
      <c r="F141" s="28"/>
      <c r="G141" s="28"/>
      <c r="H141" s="30"/>
    </row>
    <row r="142" customFormat="false" ht="15" hidden="false" customHeight="true" outlineLevel="0" collapsed="false">
      <c r="A142" s="27"/>
      <c r="B142" s="30"/>
      <c r="C142" s="29"/>
      <c r="D142" s="20" t="n">
        <f aca="false">IFERROR(B142*C142,0)</f>
        <v>0</v>
      </c>
      <c r="E142" s="25" t="n">
        <f aca="false">IFERROR(IF(B142=0,0,D142/B142),0)</f>
        <v>0</v>
      </c>
      <c r="F142" s="28"/>
      <c r="G142" s="28"/>
      <c r="H142" s="30"/>
    </row>
    <row r="143" customFormat="false" ht="15" hidden="false" customHeight="true" outlineLevel="0" collapsed="false">
      <c r="A143" s="27"/>
      <c r="B143" s="30"/>
      <c r="C143" s="29"/>
      <c r="D143" s="20" t="n">
        <f aca="false">IFERROR(B143*C143,0)</f>
        <v>0</v>
      </c>
      <c r="E143" s="25" t="n">
        <f aca="false">IFERROR(IF(B143=0,0,D143/B143),0)</f>
        <v>0</v>
      </c>
      <c r="F143" s="28"/>
      <c r="G143" s="28"/>
      <c r="H143" s="30"/>
    </row>
    <row r="144" customFormat="false" ht="15" hidden="false" customHeight="true" outlineLevel="0" collapsed="false">
      <c r="A144" s="27"/>
      <c r="B144" s="30"/>
      <c r="C144" s="29"/>
      <c r="D144" s="20" t="n">
        <f aca="false">IFERROR(B144*C144,0)</f>
        <v>0</v>
      </c>
      <c r="E144" s="25" t="n">
        <f aca="false">IFERROR(IF(B144=0,0,D144/B144),0)</f>
        <v>0</v>
      </c>
      <c r="F144" s="28"/>
      <c r="G144" s="28"/>
      <c r="H144" s="30"/>
    </row>
    <row r="145" customFormat="false" ht="15" hidden="false" customHeight="true" outlineLevel="0" collapsed="false">
      <c r="A145" s="27"/>
      <c r="B145" s="30"/>
      <c r="C145" s="29"/>
      <c r="D145" s="20" t="n">
        <f aca="false">IFERROR(B145*C145,0)</f>
        <v>0</v>
      </c>
      <c r="E145" s="25" t="n">
        <f aca="false">IFERROR(IF(B145=0,0,D145/B145),0)</f>
        <v>0</v>
      </c>
      <c r="F145" s="28"/>
      <c r="G145" s="28"/>
      <c r="H145" s="30"/>
    </row>
    <row r="146" customFormat="false" ht="15" hidden="false" customHeight="true" outlineLevel="0" collapsed="false">
      <c r="A146" s="27"/>
      <c r="B146" s="30"/>
      <c r="C146" s="29"/>
      <c r="D146" s="20" t="n">
        <f aca="false">IFERROR(B146*C146,0)</f>
        <v>0</v>
      </c>
      <c r="E146" s="25" t="n">
        <f aca="false">IFERROR(IF(B146=0,0,D146/B146),0)</f>
        <v>0</v>
      </c>
      <c r="F146" s="28"/>
      <c r="G146" s="28"/>
      <c r="H146" s="30"/>
    </row>
    <row r="147" customFormat="false" ht="15" hidden="false" customHeight="true" outlineLevel="0" collapsed="false">
      <c r="A147" s="27"/>
      <c r="B147" s="30"/>
      <c r="C147" s="29"/>
      <c r="D147" s="20" t="n">
        <f aca="false">IFERROR(B147*C147,0)</f>
        <v>0</v>
      </c>
      <c r="E147" s="25" t="n">
        <f aca="false">IFERROR(IF(B147=0,0,D147/B147),0)</f>
        <v>0</v>
      </c>
      <c r="F147" s="28"/>
      <c r="G147" s="28"/>
      <c r="H147" s="30"/>
    </row>
    <row r="148" customFormat="false" ht="15" hidden="false" customHeight="true" outlineLevel="0" collapsed="false">
      <c r="A148" s="27"/>
      <c r="B148" s="30"/>
      <c r="C148" s="29"/>
      <c r="D148" s="20" t="n">
        <f aca="false">IFERROR(B148*C148,0)</f>
        <v>0</v>
      </c>
      <c r="E148" s="25" t="n">
        <f aca="false">IFERROR(IF(B148=0,0,D148/B148),0)</f>
        <v>0</v>
      </c>
      <c r="F148" s="28"/>
      <c r="G148" s="28"/>
      <c r="H148" s="30"/>
    </row>
    <row r="149" customFormat="false" ht="15" hidden="false" customHeight="true" outlineLevel="0" collapsed="false">
      <c r="A149" s="27"/>
      <c r="B149" s="30"/>
      <c r="C149" s="29"/>
      <c r="D149" s="20" t="n">
        <f aca="false">IFERROR(B149*C149,0)</f>
        <v>0</v>
      </c>
      <c r="E149" s="25" t="n">
        <f aca="false">IFERROR(IF(B149=0,0,D149/B149),0)</f>
        <v>0</v>
      </c>
      <c r="F149" s="28"/>
      <c r="G149" s="28"/>
      <c r="H149" s="30"/>
    </row>
    <row r="150" customFormat="false" ht="15" hidden="false" customHeight="true" outlineLevel="0" collapsed="false">
      <c r="A150" s="27"/>
      <c r="B150" s="30"/>
      <c r="C150" s="29"/>
      <c r="D150" s="20" t="n">
        <f aca="false">IFERROR(B150*C150,0)</f>
        <v>0</v>
      </c>
      <c r="E150" s="25" t="n">
        <f aca="false">IFERROR(IF(B150=0,0,D150/B150),0)</f>
        <v>0</v>
      </c>
      <c r="F150" s="28"/>
      <c r="G150" s="28"/>
      <c r="H150" s="30"/>
    </row>
    <row r="151" customFormat="false" ht="15" hidden="false" customHeight="true" outlineLevel="0" collapsed="false">
      <c r="A151" s="27"/>
      <c r="B151" s="30"/>
      <c r="C151" s="29"/>
      <c r="D151" s="20" t="n">
        <f aca="false">IFERROR(B151*C151,0)</f>
        <v>0</v>
      </c>
      <c r="E151" s="25" t="n">
        <f aca="false">IFERROR(IF(B151=0,0,D151/B151),0)</f>
        <v>0</v>
      </c>
      <c r="F151" s="28"/>
      <c r="G151" s="28"/>
      <c r="H151" s="30"/>
    </row>
    <row r="152" customFormat="false" ht="15" hidden="false" customHeight="true" outlineLevel="0" collapsed="false">
      <c r="A152" s="27"/>
      <c r="B152" s="30"/>
      <c r="C152" s="29"/>
      <c r="D152" s="20" t="n">
        <f aca="false">IFERROR(B152*C152,0)</f>
        <v>0</v>
      </c>
      <c r="E152" s="25" t="n">
        <f aca="false">IFERROR(IF(B152=0,0,D152/B152),0)</f>
        <v>0</v>
      </c>
      <c r="F152" s="28"/>
      <c r="G152" s="28"/>
      <c r="H152" s="30"/>
    </row>
    <row r="153" customFormat="false" ht="15" hidden="false" customHeight="true" outlineLevel="0" collapsed="false">
      <c r="A153" s="27"/>
      <c r="B153" s="30"/>
      <c r="C153" s="29"/>
      <c r="D153" s="20" t="n">
        <f aca="false">IFERROR(B153*C153,0)</f>
        <v>0</v>
      </c>
      <c r="E153" s="25" t="n">
        <f aca="false">IFERROR(IF(B153=0,0,D153/B153),0)</f>
        <v>0</v>
      </c>
      <c r="F153" s="28"/>
      <c r="G153" s="28"/>
      <c r="H153" s="30"/>
    </row>
    <row r="154" customFormat="false" ht="15" hidden="false" customHeight="true" outlineLevel="0" collapsed="false">
      <c r="A154" s="27"/>
      <c r="B154" s="30"/>
      <c r="C154" s="29"/>
      <c r="D154" s="20" t="n">
        <f aca="false">IFERROR(B154*C154,0)</f>
        <v>0</v>
      </c>
      <c r="E154" s="25" t="n">
        <f aca="false">IFERROR(IF(B154=0,0,D154/B154),0)</f>
        <v>0</v>
      </c>
      <c r="F154" s="28"/>
      <c r="G154" s="28"/>
      <c r="H154" s="30"/>
    </row>
    <row r="155" customFormat="false" ht="15" hidden="false" customHeight="true" outlineLevel="0" collapsed="false">
      <c r="A155" s="27"/>
      <c r="B155" s="30"/>
      <c r="C155" s="29"/>
      <c r="D155" s="20" t="n">
        <f aca="false">IFERROR(B155*C155,0)</f>
        <v>0</v>
      </c>
      <c r="E155" s="25" t="n">
        <f aca="false">IFERROR(IF(B155=0,0,D155/B155),0)</f>
        <v>0</v>
      </c>
      <c r="F155" s="28"/>
      <c r="G155" s="28"/>
      <c r="H155" s="30"/>
    </row>
    <row r="156" customFormat="false" ht="15" hidden="false" customHeight="true" outlineLevel="0" collapsed="false">
      <c r="A156" s="27"/>
      <c r="B156" s="30"/>
      <c r="C156" s="29"/>
      <c r="D156" s="20" t="n">
        <f aca="false">IFERROR(B156*C156,0)</f>
        <v>0</v>
      </c>
      <c r="E156" s="25" t="n">
        <f aca="false">IFERROR(IF(B156=0,0,D156/B156),0)</f>
        <v>0</v>
      </c>
      <c r="F156" s="28"/>
      <c r="G156" s="28"/>
      <c r="H156" s="30"/>
    </row>
    <row r="157" customFormat="false" ht="15" hidden="false" customHeight="true" outlineLevel="0" collapsed="false">
      <c r="A157" s="27"/>
      <c r="B157" s="30"/>
      <c r="C157" s="29"/>
      <c r="D157" s="20" t="n">
        <f aca="false">IFERROR(B157*C157,0)</f>
        <v>0</v>
      </c>
      <c r="E157" s="25" t="n">
        <f aca="false">IFERROR(IF(B157=0,0,D157/B157),0)</f>
        <v>0</v>
      </c>
      <c r="F157" s="28"/>
      <c r="G157" s="28"/>
      <c r="H157" s="30"/>
    </row>
    <row r="158" customFormat="false" ht="15" hidden="false" customHeight="true" outlineLevel="0" collapsed="false">
      <c r="A158" s="27"/>
      <c r="B158" s="30"/>
      <c r="C158" s="29"/>
      <c r="D158" s="20" t="n">
        <f aca="false">IFERROR(B158*C158,0)</f>
        <v>0</v>
      </c>
      <c r="E158" s="25" t="n">
        <f aca="false">IFERROR(IF(B158=0,0,D158/B158),0)</f>
        <v>0</v>
      </c>
      <c r="F158" s="28"/>
      <c r="G158" s="28"/>
      <c r="H158" s="30"/>
    </row>
    <row r="159" customFormat="false" ht="15" hidden="false" customHeight="true" outlineLevel="0" collapsed="false">
      <c r="A159" s="27"/>
      <c r="B159" s="30"/>
      <c r="C159" s="29"/>
      <c r="D159" s="20" t="n">
        <f aca="false">IFERROR(B159*C159,0)</f>
        <v>0</v>
      </c>
      <c r="E159" s="25" t="n">
        <f aca="false">IFERROR(IF(B159=0,0,D159/B159),0)</f>
        <v>0</v>
      </c>
      <c r="F159" s="28"/>
      <c r="G159" s="28"/>
      <c r="H159" s="30"/>
    </row>
    <row r="160" customFormat="false" ht="15" hidden="false" customHeight="true" outlineLevel="0" collapsed="false">
      <c r="A160" s="27"/>
      <c r="B160" s="30"/>
      <c r="C160" s="29"/>
      <c r="D160" s="20" t="n">
        <f aca="false">IFERROR(B160*C160,0)</f>
        <v>0</v>
      </c>
      <c r="E160" s="25" t="n">
        <f aca="false">IFERROR(IF(B160=0,0,D160/B160),0)</f>
        <v>0</v>
      </c>
      <c r="F160" s="28"/>
      <c r="G160" s="28"/>
      <c r="H160" s="30"/>
    </row>
    <row r="161" customFormat="false" ht="15" hidden="false" customHeight="true" outlineLevel="0" collapsed="false">
      <c r="A161" s="27"/>
      <c r="B161" s="30"/>
      <c r="C161" s="29"/>
      <c r="D161" s="20" t="n">
        <f aca="false">IFERROR(B161*C161,0)</f>
        <v>0</v>
      </c>
      <c r="E161" s="25" t="n">
        <f aca="false">IFERROR(IF(B161=0,0,D161/B161),0)</f>
        <v>0</v>
      </c>
      <c r="F161" s="28"/>
      <c r="G161" s="28"/>
      <c r="H161" s="30"/>
    </row>
    <row r="162" customFormat="false" ht="15" hidden="false" customHeight="true" outlineLevel="0" collapsed="false">
      <c r="A162" s="27"/>
      <c r="B162" s="30"/>
      <c r="C162" s="29"/>
      <c r="D162" s="20" t="n">
        <f aca="false">IFERROR(B162*C162,0)</f>
        <v>0</v>
      </c>
      <c r="E162" s="25" t="n">
        <f aca="false">IFERROR(IF(B162=0,0,D162/B162),0)</f>
        <v>0</v>
      </c>
      <c r="F162" s="28"/>
      <c r="G162" s="28"/>
      <c r="H162" s="30"/>
    </row>
    <row r="163" customFormat="false" ht="15" hidden="false" customHeight="true" outlineLevel="0" collapsed="false">
      <c r="A163" s="27"/>
      <c r="B163" s="30"/>
      <c r="C163" s="29"/>
      <c r="D163" s="20" t="n">
        <f aca="false">IFERROR(B163*C163,0)</f>
        <v>0</v>
      </c>
      <c r="E163" s="25" t="n">
        <f aca="false">IFERROR(IF(B163=0,0,D163/B163),0)</f>
        <v>0</v>
      </c>
      <c r="F163" s="28"/>
      <c r="G163" s="28"/>
      <c r="H163" s="30"/>
    </row>
    <row r="164" customFormat="false" ht="15" hidden="false" customHeight="true" outlineLevel="0" collapsed="false">
      <c r="A164" s="27"/>
      <c r="B164" s="30"/>
      <c r="C164" s="29"/>
      <c r="D164" s="20" t="n">
        <f aca="false">IFERROR(B164*C164,0)</f>
        <v>0</v>
      </c>
      <c r="E164" s="25" t="n">
        <f aca="false">IFERROR(IF(B164=0,0,D164/B164),0)</f>
        <v>0</v>
      </c>
      <c r="F164" s="28"/>
      <c r="G164" s="28"/>
      <c r="H164" s="30"/>
    </row>
    <row r="165" customFormat="false" ht="15" hidden="false" customHeight="true" outlineLevel="0" collapsed="false">
      <c r="A165" s="27"/>
      <c r="B165" s="30"/>
      <c r="C165" s="29"/>
      <c r="D165" s="20" t="n">
        <f aca="false">IFERROR(B165*C165,0)</f>
        <v>0</v>
      </c>
      <c r="E165" s="25" t="n">
        <f aca="false">IFERROR(IF(B165=0,0,D165/B165),0)</f>
        <v>0</v>
      </c>
      <c r="F165" s="28"/>
      <c r="G165" s="28"/>
      <c r="H165" s="30"/>
    </row>
    <row r="166" customFormat="false" ht="15" hidden="false" customHeight="true" outlineLevel="0" collapsed="false">
      <c r="A166" s="27"/>
      <c r="B166" s="30"/>
      <c r="C166" s="29"/>
      <c r="D166" s="20" t="n">
        <f aca="false">IFERROR(B166*C166,0)</f>
        <v>0</v>
      </c>
      <c r="E166" s="25" t="n">
        <f aca="false">IFERROR(IF(B166=0,0,D166/B166),0)</f>
        <v>0</v>
      </c>
      <c r="F166" s="28"/>
      <c r="G166" s="28"/>
      <c r="H166" s="30"/>
    </row>
    <row r="167" customFormat="false" ht="15" hidden="false" customHeight="true" outlineLevel="0" collapsed="false">
      <c r="A167" s="27"/>
      <c r="B167" s="30"/>
      <c r="C167" s="29"/>
      <c r="D167" s="20" t="n">
        <f aca="false">IFERROR(B167*C167,0)</f>
        <v>0</v>
      </c>
      <c r="E167" s="25" t="n">
        <f aca="false">IFERROR(IF(B167=0,0,D167/B167),0)</f>
        <v>0</v>
      </c>
      <c r="F167" s="28"/>
      <c r="G167" s="28"/>
      <c r="H167" s="30"/>
    </row>
    <row r="168" customFormat="false" ht="15" hidden="false" customHeight="true" outlineLevel="0" collapsed="false">
      <c r="A168" s="27"/>
      <c r="B168" s="30"/>
      <c r="C168" s="29"/>
      <c r="D168" s="20" t="n">
        <f aca="false">IFERROR(B168*C168,0)</f>
        <v>0</v>
      </c>
      <c r="E168" s="25" t="n">
        <f aca="false">IFERROR(IF(B168=0,0,D168/B168),0)</f>
        <v>0</v>
      </c>
      <c r="F168" s="28"/>
      <c r="G168" s="28"/>
      <c r="H168" s="30"/>
    </row>
    <row r="169" customFormat="false" ht="15" hidden="false" customHeight="true" outlineLevel="0" collapsed="false">
      <c r="A169" s="27"/>
      <c r="B169" s="30"/>
      <c r="C169" s="29"/>
      <c r="D169" s="20" t="n">
        <f aca="false">IFERROR(B169*C169,0)</f>
        <v>0</v>
      </c>
      <c r="E169" s="25" t="n">
        <f aca="false">IFERROR(IF(B169=0,0,D169/B169),0)</f>
        <v>0</v>
      </c>
      <c r="F169" s="28"/>
      <c r="G169" s="28"/>
      <c r="H169" s="30"/>
    </row>
    <row r="170" customFormat="false" ht="15" hidden="false" customHeight="true" outlineLevel="0" collapsed="false">
      <c r="A170" s="27"/>
      <c r="B170" s="30"/>
      <c r="C170" s="29"/>
      <c r="D170" s="20" t="n">
        <f aca="false">IFERROR(B170*C170,0)</f>
        <v>0</v>
      </c>
      <c r="E170" s="25" t="n">
        <f aca="false">IFERROR(IF(B170=0,0,D170/B170),0)</f>
        <v>0</v>
      </c>
      <c r="F170" s="28"/>
      <c r="G170" s="28"/>
      <c r="H170" s="30"/>
    </row>
    <row r="171" customFormat="false" ht="15" hidden="false" customHeight="true" outlineLevel="0" collapsed="false">
      <c r="A171" s="27"/>
      <c r="B171" s="30"/>
      <c r="C171" s="29"/>
      <c r="D171" s="20" t="n">
        <f aca="false">IFERROR(B171*C171,0)</f>
        <v>0</v>
      </c>
      <c r="E171" s="25" t="n">
        <f aca="false">IFERROR(IF(B171=0,0,D171/B171),0)</f>
        <v>0</v>
      </c>
      <c r="F171" s="28"/>
      <c r="G171" s="28"/>
      <c r="H171" s="30"/>
    </row>
    <row r="172" customFormat="false" ht="15" hidden="false" customHeight="true" outlineLevel="0" collapsed="false">
      <c r="A172" s="27"/>
      <c r="B172" s="30"/>
      <c r="C172" s="29"/>
      <c r="D172" s="20" t="n">
        <f aca="false">IFERROR(B172*C172,0)</f>
        <v>0</v>
      </c>
      <c r="E172" s="25" t="n">
        <f aca="false">IFERROR(IF(B172=0,0,D172/B172),0)</f>
        <v>0</v>
      </c>
      <c r="F172" s="28"/>
      <c r="G172" s="28"/>
      <c r="H172" s="30"/>
    </row>
    <row r="173" customFormat="false" ht="15" hidden="false" customHeight="true" outlineLevel="0" collapsed="false">
      <c r="A173" s="27"/>
      <c r="B173" s="30"/>
      <c r="C173" s="29"/>
      <c r="D173" s="20" t="n">
        <f aca="false">IFERROR(B173*C173,0)</f>
        <v>0</v>
      </c>
      <c r="E173" s="25" t="n">
        <f aca="false">IFERROR(IF(B173=0,0,D173/B173),0)</f>
        <v>0</v>
      </c>
      <c r="F173" s="28"/>
      <c r="G173" s="28"/>
      <c r="H173" s="30"/>
    </row>
    <row r="174" customFormat="false" ht="15" hidden="false" customHeight="true" outlineLevel="0" collapsed="false">
      <c r="A174" s="27"/>
      <c r="B174" s="30"/>
      <c r="C174" s="29"/>
      <c r="D174" s="20" t="n">
        <f aca="false">IFERROR(B174*C174,0)</f>
        <v>0</v>
      </c>
      <c r="E174" s="25" t="n">
        <f aca="false">IFERROR(IF(B174=0,0,D174/B174),0)</f>
        <v>0</v>
      </c>
      <c r="F174" s="28"/>
      <c r="G174" s="28"/>
      <c r="H174" s="30"/>
    </row>
    <row r="175" customFormat="false" ht="15" hidden="false" customHeight="true" outlineLevel="0" collapsed="false">
      <c r="A175" s="27"/>
      <c r="B175" s="30"/>
      <c r="C175" s="29"/>
      <c r="D175" s="20" t="n">
        <f aca="false">IFERROR(B175*C175,0)</f>
        <v>0</v>
      </c>
      <c r="E175" s="25" t="n">
        <f aca="false">IFERROR(IF(B175=0,0,D175/B175),0)</f>
        <v>0</v>
      </c>
      <c r="F175" s="28"/>
      <c r="G175" s="28"/>
      <c r="H175" s="30"/>
    </row>
    <row r="176" customFormat="false" ht="15" hidden="false" customHeight="true" outlineLevel="0" collapsed="false">
      <c r="A176" s="27"/>
      <c r="B176" s="30"/>
      <c r="C176" s="29"/>
      <c r="D176" s="20" t="n">
        <f aca="false">IFERROR(B176*C176,0)</f>
        <v>0</v>
      </c>
      <c r="E176" s="25" t="n">
        <f aca="false">IFERROR(IF(B176=0,0,D176/B176),0)</f>
        <v>0</v>
      </c>
      <c r="F176" s="28"/>
      <c r="G176" s="28"/>
      <c r="H176" s="30"/>
    </row>
    <row r="177" customFormat="false" ht="15" hidden="false" customHeight="true" outlineLevel="0" collapsed="false">
      <c r="A177" s="27"/>
      <c r="B177" s="30"/>
      <c r="C177" s="29"/>
      <c r="D177" s="20" t="n">
        <f aca="false">IFERROR(B177*C177,0)</f>
        <v>0</v>
      </c>
      <c r="E177" s="25" t="n">
        <f aca="false">IFERROR(IF(B177=0,0,D177/B177),0)</f>
        <v>0</v>
      </c>
      <c r="F177" s="28"/>
      <c r="G177" s="28"/>
      <c r="H177" s="30"/>
    </row>
    <row r="178" customFormat="false" ht="15" hidden="false" customHeight="true" outlineLevel="0" collapsed="false">
      <c r="A178" s="27"/>
      <c r="B178" s="30"/>
      <c r="C178" s="29"/>
      <c r="D178" s="20" t="n">
        <f aca="false">IFERROR(B178*C178,0)</f>
        <v>0</v>
      </c>
      <c r="E178" s="25" t="n">
        <f aca="false">IFERROR(IF(B178=0,0,D178/B178),0)</f>
        <v>0</v>
      </c>
      <c r="F178" s="28"/>
      <c r="G178" s="28"/>
      <c r="H178" s="30"/>
    </row>
    <row r="179" customFormat="false" ht="15" hidden="false" customHeight="true" outlineLevel="0" collapsed="false">
      <c r="A179" s="27"/>
      <c r="B179" s="30"/>
      <c r="C179" s="29"/>
      <c r="D179" s="20" t="n">
        <f aca="false">IFERROR(B179*C179,0)</f>
        <v>0</v>
      </c>
      <c r="E179" s="25" t="n">
        <f aca="false">IFERROR(IF(B179=0,0,D179/B179),0)</f>
        <v>0</v>
      </c>
      <c r="F179" s="28"/>
      <c r="G179" s="28"/>
      <c r="H179" s="30"/>
    </row>
    <row r="180" customFormat="false" ht="15" hidden="false" customHeight="true" outlineLevel="0" collapsed="false">
      <c r="A180" s="27"/>
      <c r="B180" s="30"/>
      <c r="C180" s="29"/>
      <c r="D180" s="20" t="n">
        <f aca="false">IFERROR(B180*C180,0)</f>
        <v>0</v>
      </c>
      <c r="E180" s="25" t="n">
        <f aca="false">IFERROR(IF(B180=0,0,D180/B180),0)</f>
        <v>0</v>
      </c>
      <c r="F180" s="28"/>
      <c r="G180" s="28"/>
      <c r="H180" s="30"/>
    </row>
    <row r="181" customFormat="false" ht="15" hidden="false" customHeight="true" outlineLevel="0" collapsed="false">
      <c r="A181" s="27"/>
      <c r="B181" s="30"/>
      <c r="C181" s="29"/>
      <c r="D181" s="20" t="n">
        <f aca="false">IFERROR(B181*C181,0)</f>
        <v>0</v>
      </c>
      <c r="E181" s="25" t="n">
        <f aca="false">IFERROR(IF(B181=0,0,D181/B181),0)</f>
        <v>0</v>
      </c>
      <c r="F181" s="28"/>
      <c r="G181" s="28"/>
      <c r="H181" s="30"/>
    </row>
    <row r="182" customFormat="false" ht="15" hidden="false" customHeight="true" outlineLevel="0" collapsed="false">
      <c r="A182" s="27"/>
      <c r="B182" s="30"/>
      <c r="C182" s="29"/>
      <c r="D182" s="20" t="n">
        <f aca="false">IFERROR(B182*C182,0)</f>
        <v>0</v>
      </c>
      <c r="E182" s="25" t="n">
        <f aca="false">IFERROR(IF(B182=0,0,D182/B182),0)</f>
        <v>0</v>
      </c>
      <c r="F182" s="28"/>
      <c r="G182" s="28"/>
      <c r="H182" s="30"/>
    </row>
    <row r="183" customFormat="false" ht="15" hidden="false" customHeight="true" outlineLevel="0" collapsed="false">
      <c r="A183" s="27"/>
      <c r="B183" s="30"/>
      <c r="C183" s="29"/>
      <c r="D183" s="20" t="n">
        <f aca="false">IFERROR(B183*C183,0)</f>
        <v>0</v>
      </c>
      <c r="E183" s="25" t="n">
        <f aca="false">IFERROR(IF(B183=0,0,D183/B183),0)</f>
        <v>0</v>
      </c>
      <c r="F183" s="28"/>
      <c r="G183" s="28"/>
      <c r="H183" s="30"/>
    </row>
    <row r="184" customFormat="false" ht="15" hidden="false" customHeight="true" outlineLevel="0" collapsed="false">
      <c r="A184" s="27"/>
      <c r="B184" s="30"/>
      <c r="C184" s="29"/>
      <c r="D184" s="20" t="n">
        <f aca="false">IFERROR(B184*C184,0)</f>
        <v>0</v>
      </c>
      <c r="E184" s="25" t="n">
        <f aca="false">IFERROR(IF(B184=0,0,D184/B184),0)</f>
        <v>0</v>
      </c>
      <c r="F184" s="28"/>
      <c r="G184" s="28"/>
      <c r="H184" s="30"/>
    </row>
    <row r="185" customFormat="false" ht="15" hidden="false" customHeight="true" outlineLevel="0" collapsed="false">
      <c r="A185" s="27"/>
      <c r="B185" s="30"/>
      <c r="C185" s="29"/>
      <c r="D185" s="20" t="n">
        <f aca="false">IFERROR(B185*C185,0)</f>
        <v>0</v>
      </c>
      <c r="E185" s="25" t="n">
        <f aca="false">IFERROR(IF(B185=0,0,D185/B185),0)</f>
        <v>0</v>
      </c>
      <c r="F185" s="28"/>
      <c r="G185" s="28"/>
      <c r="H185" s="30"/>
    </row>
    <row r="186" customFormat="false" ht="15" hidden="false" customHeight="true" outlineLevel="0" collapsed="false">
      <c r="A186" s="27"/>
      <c r="B186" s="30"/>
      <c r="C186" s="29"/>
      <c r="D186" s="20" t="n">
        <f aca="false">IFERROR(B186*C186,0)</f>
        <v>0</v>
      </c>
      <c r="E186" s="25" t="n">
        <f aca="false">IFERROR(IF(B186=0,0,D186/B186),0)</f>
        <v>0</v>
      </c>
      <c r="F186" s="28"/>
      <c r="G186" s="28"/>
      <c r="H186" s="30"/>
    </row>
    <row r="187" customFormat="false" ht="15" hidden="false" customHeight="true" outlineLevel="0" collapsed="false">
      <c r="A187" s="27"/>
      <c r="B187" s="30"/>
      <c r="C187" s="29"/>
      <c r="D187" s="20" t="n">
        <f aca="false">IFERROR(B187*C187,0)</f>
        <v>0</v>
      </c>
      <c r="E187" s="25" t="n">
        <f aca="false">IFERROR(IF(B187=0,0,D187/B187),0)</f>
        <v>0</v>
      </c>
      <c r="F187" s="28"/>
      <c r="G187" s="28"/>
      <c r="H187" s="30"/>
    </row>
    <row r="188" customFormat="false" ht="15" hidden="false" customHeight="true" outlineLevel="0" collapsed="false">
      <c r="A188" s="27"/>
      <c r="B188" s="30"/>
      <c r="C188" s="29"/>
      <c r="D188" s="20" t="n">
        <f aca="false">IFERROR(B188*C188,0)</f>
        <v>0</v>
      </c>
      <c r="E188" s="25" t="n">
        <f aca="false">IFERROR(IF(B188=0,0,D188/B188),0)</f>
        <v>0</v>
      </c>
      <c r="F188" s="28"/>
      <c r="G188" s="28"/>
      <c r="H188" s="30"/>
    </row>
    <row r="189" customFormat="false" ht="15" hidden="false" customHeight="true" outlineLevel="0" collapsed="false">
      <c r="A189" s="27"/>
      <c r="B189" s="30"/>
      <c r="C189" s="29"/>
      <c r="D189" s="20" t="n">
        <f aca="false">IFERROR(B189*C189,0)</f>
        <v>0</v>
      </c>
      <c r="E189" s="25" t="n">
        <f aca="false">IFERROR(IF(B189=0,0,D189/B189),0)</f>
        <v>0</v>
      </c>
      <c r="F189" s="28"/>
      <c r="G189" s="28"/>
      <c r="H189" s="30"/>
    </row>
    <row r="190" customFormat="false" ht="15" hidden="false" customHeight="true" outlineLevel="0" collapsed="false">
      <c r="A190" s="27"/>
      <c r="B190" s="30"/>
      <c r="C190" s="29"/>
      <c r="D190" s="20" t="n">
        <f aca="false">IFERROR(B190*C190,0)</f>
        <v>0</v>
      </c>
      <c r="E190" s="25" t="n">
        <f aca="false">IFERROR(IF(B190=0,0,D190/B190),0)</f>
        <v>0</v>
      </c>
      <c r="F190" s="28"/>
      <c r="G190" s="28"/>
      <c r="H190" s="30"/>
    </row>
    <row r="191" customFormat="false" ht="15" hidden="false" customHeight="true" outlineLevel="0" collapsed="false">
      <c r="A191" s="27"/>
      <c r="B191" s="30"/>
      <c r="C191" s="29"/>
      <c r="D191" s="20" t="n">
        <f aca="false">IFERROR(B191*C191,0)</f>
        <v>0</v>
      </c>
      <c r="E191" s="25" t="n">
        <f aca="false">IFERROR(IF(B191=0,0,D191/B191),0)</f>
        <v>0</v>
      </c>
      <c r="F191" s="28"/>
      <c r="G191" s="28"/>
      <c r="H191" s="30"/>
    </row>
    <row r="192" customFormat="false" ht="15" hidden="false" customHeight="true" outlineLevel="0" collapsed="false">
      <c r="A192" s="27"/>
      <c r="B192" s="30"/>
      <c r="C192" s="29"/>
      <c r="D192" s="20" t="n">
        <f aca="false">IFERROR(B192*C192,0)</f>
        <v>0</v>
      </c>
      <c r="E192" s="25" t="n">
        <f aca="false">IFERROR(IF(B192=0,0,D192/B192),0)</f>
        <v>0</v>
      </c>
      <c r="F192" s="28"/>
      <c r="G192" s="28"/>
      <c r="H192" s="30"/>
    </row>
    <row r="193" customFormat="false" ht="15" hidden="false" customHeight="true" outlineLevel="0" collapsed="false">
      <c r="A193" s="27"/>
      <c r="B193" s="30"/>
      <c r="C193" s="29"/>
      <c r="D193" s="20" t="n">
        <f aca="false">IFERROR(B193*C193,0)</f>
        <v>0</v>
      </c>
      <c r="E193" s="25" t="n">
        <f aca="false">IFERROR(IF(B193=0,0,D193/B193),0)</f>
        <v>0</v>
      </c>
      <c r="F193" s="28"/>
      <c r="G193" s="28"/>
      <c r="H193" s="30"/>
    </row>
    <row r="194" customFormat="false" ht="15" hidden="false" customHeight="true" outlineLevel="0" collapsed="false">
      <c r="A194" s="27"/>
      <c r="B194" s="30"/>
      <c r="C194" s="29"/>
      <c r="D194" s="20" t="n">
        <f aca="false">IFERROR(B194*C194,0)</f>
        <v>0</v>
      </c>
      <c r="E194" s="25" t="n">
        <f aca="false">IFERROR(IF(B194=0,0,D194/B194),0)</f>
        <v>0</v>
      </c>
      <c r="F194" s="28"/>
      <c r="G194" s="28"/>
      <c r="H194" s="30"/>
    </row>
    <row r="195" customFormat="false" ht="15" hidden="false" customHeight="true" outlineLevel="0" collapsed="false">
      <c r="A195" s="27"/>
      <c r="B195" s="30"/>
      <c r="C195" s="29"/>
      <c r="D195" s="20" t="n">
        <f aca="false">IFERROR(B195*C195,0)</f>
        <v>0</v>
      </c>
      <c r="E195" s="25" t="n">
        <f aca="false">IFERROR(IF(B195=0,0,D195/B195),0)</f>
        <v>0</v>
      </c>
      <c r="F195" s="28"/>
      <c r="G195" s="28"/>
      <c r="H195" s="30"/>
    </row>
    <row r="196" customFormat="false" ht="15" hidden="false" customHeight="true" outlineLevel="0" collapsed="false">
      <c r="A196" s="27"/>
      <c r="B196" s="30"/>
      <c r="C196" s="29"/>
      <c r="D196" s="20" t="n">
        <f aca="false">IFERROR(B196*C196,0)</f>
        <v>0</v>
      </c>
      <c r="E196" s="25" t="n">
        <f aca="false">IFERROR(IF(B196=0,0,D196/B196),0)</f>
        <v>0</v>
      </c>
      <c r="F196" s="28"/>
      <c r="G196" s="28"/>
      <c r="H196" s="30"/>
    </row>
    <row r="197" customFormat="false" ht="15" hidden="false" customHeight="true" outlineLevel="0" collapsed="false">
      <c r="A197" s="27"/>
      <c r="B197" s="30"/>
      <c r="C197" s="29"/>
      <c r="D197" s="20" t="n">
        <f aca="false">IFERROR(B197*C197,0)</f>
        <v>0</v>
      </c>
      <c r="E197" s="25" t="n">
        <f aca="false">IFERROR(IF(B197=0,0,D197/B197),0)</f>
        <v>0</v>
      </c>
      <c r="F197" s="28"/>
      <c r="G197" s="28"/>
      <c r="H197" s="30"/>
    </row>
    <row r="198" customFormat="false" ht="15" hidden="false" customHeight="true" outlineLevel="0" collapsed="false">
      <c r="A198" s="27"/>
      <c r="B198" s="30"/>
      <c r="C198" s="29"/>
      <c r="D198" s="20" t="n">
        <f aca="false">IFERROR(B198*C198,0)</f>
        <v>0</v>
      </c>
      <c r="E198" s="25" t="n">
        <f aca="false">IFERROR(IF(B198=0,0,D198/B198),0)</f>
        <v>0</v>
      </c>
      <c r="F198" s="28"/>
      <c r="G198" s="28"/>
      <c r="H198" s="30"/>
    </row>
    <row r="199" customFormat="false" ht="15" hidden="false" customHeight="true" outlineLevel="0" collapsed="false">
      <c r="A199" s="27"/>
      <c r="B199" s="30"/>
      <c r="C199" s="29"/>
      <c r="D199" s="20" t="n">
        <f aca="false">IFERROR(B199*C199,0)</f>
        <v>0</v>
      </c>
      <c r="E199" s="25" t="n">
        <f aca="false">IFERROR(IF(B199=0,0,D199/B199),0)</f>
        <v>0</v>
      </c>
      <c r="F199" s="28"/>
      <c r="G199" s="28"/>
      <c r="H199" s="30"/>
    </row>
    <row r="200" customFormat="false" ht="15" hidden="false" customHeight="true" outlineLevel="0" collapsed="false">
      <c r="A200" s="27"/>
      <c r="B200" s="30"/>
      <c r="C200" s="29"/>
      <c r="D200" s="20" t="n">
        <f aca="false">IFERROR(B200*C200,0)</f>
        <v>0</v>
      </c>
      <c r="E200" s="25" t="n">
        <f aca="false">IFERROR(IF(B200=0,0,D200/B200),0)</f>
        <v>0</v>
      </c>
      <c r="F200" s="28"/>
      <c r="G200" s="28"/>
      <c r="H200" s="30"/>
    </row>
    <row r="201" customFormat="false" ht="15" hidden="false" customHeight="true" outlineLevel="0" collapsed="false">
      <c r="A201" s="27"/>
      <c r="B201" s="30"/>
      <c r="C201" s="29"/>
      <c r="D201" s="20" t="n">
        <f aca="false">IFERROR(B201*C201,0)</f>
        <v>0</v>
      </c>
      <c r="E201" s="25" t="n">
        <f aca="false">IFERROR(IF(B201=0,0,D201/B201),0)</f>
        <v>0</v>
      </c>
      <c r="F201" s="28"/>
      <c r="G201" s="28"/>
      <c r="H201" s="30"/>
    </row>
    <row r="202" customFormat="false" ht="15" hidden="false" customHeight="true" outlineLevel="0" collapsed="false">
      <c r="A202" s="27"/>
      <c r="B202" s="30"/>
      <c r="C202" s="29"/>
      <c r="D202" s="20" t="n">
        <f aca="false">IFERROR(B202*C202,0)</f>
        <v>0</v>
      </c>
      <c r="E202" s="25" t="n">
        <f aca="false">IFERROR(IF(B202=0,0,D202/B202),0)</f>
        <v>0</v>
      </c>
      <c r="F202" s="28"/>
      <c r="G202" s="28"/>
      <c r="H202" s="30"/>
    </row>
    <row r="203" customFormat="false" ht="15" hidden="false" customHeight="true" outlineLevel="0" collapsed="false">
      <c r="A203" s="27"/>
      <c r="B203" s="30"/>
      <c r="C203" s="29"/>
      <c r="D203" s="20" t="n">
        <f aca="false">IFERROR(B203*C203,0)</f>
        <v>0</v>
      </c>
      <c r="E203" s="25" t="n">
        <f aca="false">IFERROR(IF(B203=0,0,D203/B203),0)</f>
        <v>0</v>
      </c>
      <c r="F203" s="28"/>
      <c r="G203" s="28"/>
      <c r="H203" s="30"/>
    </row>
    <row r="205" customFormat="false" ht="15" hidden="false" customHeight="true" outlineLevel="0" collapsed="false">
      <c r="A205" s="7" t="s">
        <v>98</v>
      </c>
      <c r="B205" s="31" t="n">
        <f aca="false">SUM(B4:B203)</f>
        <v>300</v>
      </c>
      <c r="D205" s="32" t="n">
        <f aca="false">SUM(D4:D203)</f>
        <v>3744</v>
      </c>
      <c r="E205" s="31" t="n">
        <f aca="false">IFERROR(D205/B205,0)</f>
        <v>12.48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28"/>
  </cols>
  <sheetData>
    <row r="1" customFormat="false" ht="25.5" hidden="false" customHeight="true" outlineLevel="0" collapsed="false">
      <c r="A1" s="6" t="s">
        <v>106</v>
      </c>
      <c r="B1" s="6"/>
      <c r="C1" s="6"/>
      <c r="D1" s="6"/>
      <c r="E1" s="6"/>
      <c r="F1" s="6"/>
      <c r="G1" s="6"/>
      <c r="H1" s="6"/>
    </row>
    <row r="3" customFormat="false" ht="30" hidden="false" customHeight="true" outlineLevel="0" collapsed="false">
      <c r="A3" s="16" t="s">
        <v>51</v>
      </c>
      <c r="B3" s="16" t="s">
        <v>44</v>
      </c>
      <c r="C3" s="16" t="s">
        <v>107</v>
      </c>
      <c r="D3" s="16" t="s">
        <v>108</v>
      </c>
      <c r="E3" s="16" t="s">
        <v>54</v>
      </c>
      <c r="F3" s="16" t="s">
        <v>109</v>
      </c>
      <c r="G3" s="16" t="s">
        <v>110</v>
      </c>
      <c r="H3" s="16" t="s">
        <v>57</v>
      </c>
    </row>
    <row r="4" customFormat="false" ht="15" hidden="false" customHeight="true" outlineLevel="0" collapsed="false">
      <c r="A4" s="27" t="s">
        <v>94</v>
      </c>
      <c r="B4" s="28" t="s">
        <v>47</v>
      </c>
      <c r="C4" s="28" t="s">
        <v>111</v>
      </c>
      <c r="D4" s="30" t="n">
        <v>100</v>
      </c>
      <c r="E4" s="29" t="n">
        <v>3300</v>
      </c>
      <c r="F4" s="28" t="s">
        <v>112</v>
      </c>
      <c r="G4" s="28"/>
      <c r="H4" s="28"/>
    </row>
    <row r="5" customFormat="false" ht="15" hidden="false" customHeight="true" outlineLevel="0" collapsed="false">
      <c r="A5" s="27" t="s">
        <v>96</v>
      </c>
      <c r="B5" s="28" t="s">
        <v>49</v>
      </c>
      <c r="C5" s="28" t="s">
        <v>113</v>
      </c>
      <c r="D5" s="30" t="n">
        <v>50</v>
      </c>
      <c r="E5" s="29" t="n">
        <v>1700</v>
      </c>
      <c r="F5" s="28" t="s">
        <v>112</v>
      </c>
      <c r="G5" s="28"/>
      <c r="H5" s="28"/>
    </row>
    <row r="6" customFormat="false" ht="15" hidden="false" customHeight="true" outlineLevel="0" collapsed="false">
      <c r="A6" s="27" t="s">
        <v>58</v>
      </c>
      <c r="B6" s="28" t="s">
        <v>46</v>
      </c>
      <c r="C6" s="28" t="s">
        <v>111</v>
      </c>
      <c r="D6" s="30" t="n">
        <v>100</v>
      </c>
      <c r="E6" s="29" t="n">
        <v>3280</v>
      </c>
      <c r="F6" s="28" t="s">
        <v>112</v>
      </c>
      <c r="G6" s="28"/>
      <c r="H6" s="28"/>
    </row>
    <row r="7" customFormat="false" ht="15" hidden="false" customHeight="true" outlineLevel="0" collapsed="false">
      <c r="A7" s="27" t="s">
        <v>100</v>
      </c>
      <c r="B7" s="28" t="s">
        <v>47</v>
      </c>
      <c r="C7" s="28" t="s">
        <v>114</v>
      </c>
      <c r="D7" s="30" t="n">
        <v>50</v>
      </c>
      <c r="E7" s="29" t="n">
        <v>1725</v>
      </c>
      <c r="F7" s="28" t="s">
        <v>112</v>
      </c>
      <c r="G7" s="28"/>
      <c r="H7" s="28"/>
    </row>
    <row r="8" customFormat="false" ht="15" hidden="false" customHeight="true" outlineLevel="0" collapsed="false">
      <c r="A8" s="27" t="s">
        <v>58</v>
      </c>
      <c r="B8" s="28" t="s">
        <v>48</v>
      </c>
      <c r="C8" s="28" t="s">
        <v>115</v>
      </c>
      <c r="D8" s="30" t="n">
        <v>100</v>
      </c>
      <c r="E8" s="29" t="n">
        <v>3380</v>
      </c>
      <c r="F8" s="28" t="s">
        <v>116</v>
      </c>
      <c r="G8" s="28"/>
      <c r="H8" s="28"/>
    </row>
    <row r="9" customFormat="false" ht="15" hidden="false" customHeight="true" outlineLevel="0" collapsed="false">
      <c r="A9" s="27" t="s">
        <v>96</v>
      </c>
      <c r="B9" s="28" t="s">
        <v>48</v>
      </c>
      <c r="C9" s="28" t="s">
        <v>117</v>
      </c>
      <c r="D9" s="30" t="n">
        <v>100</v>
      </c>
      <c r="E9" s="29" t="n">
        <v>3620</v>
      </c>
      <c r="F9" s="28" t="s">
        <v>112</v>
      </c>
      <c r="G9" s="28"/>
      <c r="H9" s="28"/>
    </row>
    <row r="10" customFormat="false" ht="15" hidden="false" customHeight="true" outlineLevel="0" collapsed="false">
      <c r="A10" s="27" t="s">
        <v>64</v>
      </c>
      <c r="B10" s="28" t="s">
        <v>49</v>
      </c>
      <c r="C10" s="28" t="s">
        <v>118</v>
      </c>
      <c r="D10" s="30" t="n">
        <v>200</v>
      </c>
      <c r="E10" s="29" t="n">
        <v>124</v>
      </c>
      <c r="F10" s="28" t="s">
        <v>119</v>
      </c>
      <c r="G10" s="28"/>
      <c r="H10" s="28"/>
    </row>
    <row r="11" customFormat="false" ht="15" hidden="false" customHeight="true" outlineLevel="0" collapsed="false">
      <c r="A11" s="27"/>
      <c r="B11" s="28"/>
      <c r="C11" s="28"/>
      <c r="D11" s="30"/>
      <c r="E11" s="29"/>
      <c r="F11" s="28"/>
      <c r="G11" s="28"/>
      <c r="H11" s="28"/>
    </row>
    <row r="12" customFormat="false" ht="15" hidden="false" customHeight="true" outlineLevel="0" collapsed="false">
      <c r="A12" s="27"/>
      <c r="B12" s="28"/>
      <c r="C12" s="28"/>
      <c r="D12" s="30"/>
      <c r="E12" s="29"/>
      <c r="F12" s="28"/>
      <c r="G12" s="28"/>
      <c r="H12" s="28"/>
    </row>
    <row r="13" customFormat="false" ht="15" hidden="false" customHeight="true" outlineLevel="0" collapsed="false">
      <c r="A13" s="27"/>
      <c r="B13" s="28"/>
      <c r="C13" s="28"/>
      <c r="D13" s="30"/>
      <c r="E13" s="29"/>
      <c r="F13" s="28"/>
      <c r="G13" s="28"/>
      <c r="H13" s="28"/>
    </row>
    <row r="14" customFormat="false" ht="15" hidden="false" customHeight="true" outlineLevel="0" collapsed="false">
      <c r="A14" s="27"/>
      <c r="B14" s="28"/>
      <c r="C14" s="28"/>
      <c r="D14" s="30"/>
      <c r="E14" s="29"/>
      <c r="F14" s="28"/>
      <c r="G14" s="28"/>
      <c r="H14" s="28"/>
    </row>
    <row r="15" customFormat="false" ht="15" hidden="false" customHeight="true" outlineLevel="0" collapsed="false">
      <c r="A15" s="27"/>
      <c r="B15" s="28"/>
      <c r="C15" s="28"/>
      <c r="D15" s="30"/>
      <c r="E15" s="29"/>
      <c r="F15" s="28"/>
      <c r="G15" s="28"/>
      <c r="H15" s="28"/>
    </row>
    <row r="16" customFormat="false" ht="15" hidden="false" customHeight="true" outlineLevel="0" collapsed="false">
      <c r="A16" s="27"/>
      <c r="B16" s="28"/>
      <c r="C16" s="28"/>
      <c r="D16" s="30"/>
      <c r="E16" s="29"/>
      <c r="F16" s="28"/>
      <c r="G16" s="28"/>
      <c r="H16" s="28"/>
    </row>
    <row r="17" customFormat="false" ht="15" hidden="false" customHeight="true" outlineLevel="0" collapsed="false">
      <c r="A17" s="27"/>
      <c r="B17" s="28"/>
      <c r="C17" s="28"/>
      <c r="D17" s="30"/>
      <c r="E17" s="29"/>
      <c r="F17" s="28"/>
      <c r="G17" s="28"/>
      <c r="H17" s="28"/>
    </row>
    <row r="18" customFormat="false" ht="15" hidden="false" customHeight="true" outlineLevel="0" collapsed="false">
      <c r="A18" s="27"/>
      <c r="B18" s="28"/>
      <c r="C18" s="28"/>
      <c r="D18" s="30"/>
      <c r="E18" s="29"/>
      <c r="F18" s="28"/>
      <c r="G18" s="28"/>
      <c r="H18" s="28"/>
    </row>
    <row r="19" customFormat="false" ht="15" hidden="false" customHeight="true" outlineLevel="0" collapsed="false">
      <c r="A19" s="27"/>
      <c r="B19" s="28"/>
      <c r="C19" s="28"/>
      <c r="D19" s="30"/>
      <c r="E19" s="29"/>
      <c r="F19" s="28"/>
      <c r="G19" s="28"/>
      <c r="H19" s="28"/>
    </row>
    <row r="20" customFormat="false" ht="15" hidden="false" customHeight="true" outlineLevel="0" collapsed="false">
      <c r="A20" s="27"/>
      <c r="B20" s="28"/>
      <c r="C20" s="28"/>
      <c r="D20" s="30"/>
      <c r="E20" s="29"/>
      <c r="F20" s="28"/>
      <c r="G20" s="28"/>
      <c r="H20" s="28"/>
    </row>
    <row r="21" customFormat="false" ht="15" hidden="false" customHeight="true" outlineLevel="0" collapsed="false">
      <c r="A21" s="27"/>
      <c r="B21" s="28"/>
      <c r="C21" s="28"/>
      <c r="D21" s="30"/>
      <c r="E21" s="29"/>
      <c r="F21" s="28"/>
      <c r="G21" s="28"/>
      <c r="H21" s="28"/>
    </row>
    <row r="22" customFormat="false" ht="15" hidden="false" customHeight="true" outlineLevel="0" collapsed="false">
      <c r="A22" s="27"/>
      <c r="B22" s="28"/>
      <c r="C22" s="28"/>
      <c r="D22" s="30"/>
      <c r="E22" s="29"/>
      <c r="F22" s="28"/>
      <c r="G22" s="28"/>
      <c r="H22" s="28"/>
    </row>
    <row r="23" customFormat="false" ht="15" hidden="false" customHeight="true" outlineLevel="0" collapsed="false">
      <c r="A23" s="27"/>
      <c r="B23" s="28"/>
      <c r="C23" s="28"/>
      <c r="D23" s="30"/>
      <c r="E23" s="29"/>
      <c r="F23" s="28"/>
      <c r="G23" s="28"/>
      <c r="H23" s="28"/>
    </row>
    <row r="24" customFormat="false" ht="15" hidden="false" customHeight="true" outlineLevel="0" collapsed="false">
      <c r="A24" s="27"/>
      <c r="B24" s="28"/>
      <c r="C24" s="28"/>
      <c r="D24" s="30"/>
      <c r="E24" s="29"/>
      <c r="F24" s="28"/>
      <c r="G24" s="28"/>
      <c r="H24" s="28"/>
    </row>
    <row r="25" customFormat="false" ht="15" hidden="false" customHeight="true" outlineLevel="0" collapsed="false">
      <c r="A25" s="27"/>
      <c r="B25" s="28"/>
      <c r="C25" s="28"/>
      <c r="D25" s="30"/>
      <c r="E25" s="29"/>
      <c r="F25" s="28"/>
      <c r="G25" s="28"/>
      <c r="H25" s="28"/>
    </row>
    <row r="26" customFormat="false" ht="15" hidden="false" customHeight="true" outlineLevel="0" collapsed="false">
      <c r="A26" s="27"/>
      <c r="B26" s="28"/>
      <c r="C26" s="28"/>
      <c r="D26" s="30"/>
      <c r="E26" s="29"/>
      <c r="F26" s="28"/>
      <c r="G26" s="28"/>
      <c r="H26" s="28"/>
    </row>
    <row r="27" customFormat="false" ht="15" hidden="false" customHeight="true" outlineLevel="0" collapsed="false">
      <c r="A27" s="27"/>
      <c r="B27" s="28"/>
      <c r="C27" s="28"/>
      <c r="D27" s="30"/>
      <c r="E27" s="29"/>
      <c r="F27" s="28"/>
      <c r="G27" s="28"/>
      <c r="H27" s="28"/>
    </row>
    <row r="28" customFormat="false" ht="15" hidden="false" customHeight="true" outlineLevel="0" collapsed="false">
      <c r="A28" s="27"/>
      <c r="B28" s="28"/>
      <c r="C28" s="28"/>
      <c r="D28" s="30"/>
      <c r="E28" s="29"/>
      <c r="F28" s="28"/>
      <c r="G28" s="28"/>
      <c r="H28" s="28"/>
    </row>
    <row r="29" customFormat="false" ht="15" hidden="false" customHeight="true" outlineLevel="0" collapsed="false">
      <c r="A29" s="27"/>
      <c r="B29" s="28"/>
      <c r="C29" s="28"/>
      <c r="D29" s="30"/>
      <c r="E29" s="29"/>
      <c r="F29" s="28"/>
      <c r="G29" s="28"/>
      <c r="H29" s="28"/>
    </row>
    <row r="30" customFormat="false" ht="15" hidden="false" customHeight="true" outlineLevel="0" collapsed="false">
      <c r="A30" s="27"/>
      <c r="B30" s="28"/>
      <c r="C30" s="28"/>
      <c r="D30" s="30"/>
      <c r="E30" s="29"/>
      <c r="F30" s="28"/>
      <c r="G30" s="28"/>
      <c r="H30" s="28"/>
    </row>
    <row r="31" customFormat="false" ht="15" hidden="false" customHeight="true" outlineLevel="0" collapsed="false">
      <c r="A31" s="27"/>
      <c r="B31" s="28"/>
      <c r="C31" s="28"/>
      <c r="D31" s="30"/>
      <c r="E31" s="29"/>
      <c r="F31" s="28"/>
      <c r="G31" s="28"/>
      <c r="H31" s="28"/>
    </row>
    <row r="32" customFormat="false" ht="15" hidden="false" customHeight="true" outlineLevel="0" collapsed="false">
      <c r="A32" s="27"/>
      <c r="B32" s="28"/>
      <c r="C32" s="28"/>
      <c r="D32" s="30"/>
      <c r="E32" s="29"/>
      <c r="F32" s="28"/>
      <c r="G32" s="28"/>
      <c r="H32" s="28"/>
    </row>
    <row r="33" customFormat="false" ht="15" hidden="false" customHeight="true" outlineLevel="0" collapsed="false">
      <c r="A33" s="27"/>
      <c r="B33" s="28"/>
      <c r="C33" s="28"/>
      <c r="D33" s="30"/>
      <c r="E33" s="29"/>
      <c r="F33" s="28"/>
      <c r="G33" s="28"/>
      <c r="H33" s="28"/>
    </row>
    <row r="34" customFormat="false" ht="15" hidden="false" customHeight="true" outlineLevel="0" collapsed="false">
      <c r="A34" s="27"/>
      <c r="B34" s="28"/>
      <c r="C34" s="28"/>
      <c r="D34" s="30"/>
      <c r="E34" s="29"/>
      <c r="F34" s="28"/>
      <c r="G34" s="28"/>
      <c r="H34" s="28"/>
    </row>
    <row r="35" customFormat="false" ht="15" hidden="false" customHeight="true" outlineLevel="0" collapsed="false">
      <c r="A35" s="27"/>
      <c r="B35" s="28"/>
      <c r="C35" s="28"/>
      <c r="D35" s="30"/>
      <c r="E35" s="29"/>
      <c r="F35" s="28"/>
      <c r="G35" s="28"/>
      <c r="H35" s="28"/>
    </row>
    <row r="36" customFormat="false" ht="15" hidden="false" customHeight="true" outlineLevel="0" collapsed="false">
      <c r="A36" s="27"/>
      <c r="B36" s="28"/>
      <c r="C36" s="28"/>
      <c r="D36" s="30"/>
      <c r="E36" s="29"/>
      <c r="F36" s="28"/>
      <c r="G36" s="28"/>
      <c r="H36" s="28"/>
    </row>
    <row r="37" customFormat="false" ht="15" hidden="false" customHeight="true" outlineLevel="0" collapsed="false">
      <c r="A37" s="27"/>
      <c r="B37" s="28"/>
      <c r="C37" s="28"/>
      <c r="D37" s="30"/>
      <c r="E37" s="29"/>
      <c r="F37" s="28"/>
      <c r="G37" s="28"/>
      <c r="H37" s="28"/>
    </row>
    <row r="38" customFormat="false" ht="15" hidden="false" customHeight="true" outlineLevel="0" collapsed="false">
      <c r="A38" s="27"/>
      <c r="B38" s="28"/>
      <c r="C38" s="28"/>
      <c r="D38" s="30"/>
      <c r="E38" s="29"/>
      <c r="F38" s="28"/>
      <c r="G38" s="28"/>
      <c r="H38" s="28"/>
    </row>
    <row r="39" customFormat="false" ht="15" hidden="false" customHeight="true" outlineLevel="0" collapsed="false">
      <c r="A39" s="27"/>
      <c r="B39" s="28"/>
      <c r="C39" s="28"/>
      <c r="D39" s="30"/>
      <c r="E39" s="29"/>
      <c r="F39" s="28"/>
      <c r="G39" s="28"/>
      <c r="H39" s="28"/>
    </row>
    <row r="40" customFormat="false" ht="15" hidden="false" customHeight="true" outlineLevel="0" collapsed="false">
      <c r="A40" s="27"/>
      <c r="B40" s="28"/>
      <c r="C40" s="28"/>
      <c r="D40" s="30"/>
      <c r="E40" s="29"/>
      <c r="F40" s="28"/>
      <c r="G40" s="28"/>
      <c r="H40" s="28"/>
    </row>
    <row r="41" customFormat="false" ht="15" hidden="false" customHeight="true" outlineLevel="0" collapsed="false">
      <c r="A41" s="27"/>
      <c r="B41" s="28"/>
      <c r="C41" s="28"/>
      <c r="D41" s="30"/>
      <c r="E41" s="29"/>
      <c r="F41" s="28"/>
      <c r="G41" s="28"/>
      <c r="H41" s="28"/>
    </row>
    <row r="42" customFormat="false" ht="15" hidden="false" customHeight="true" outlineLevel="0" collapsed="false">
      <c r="A42" s="27"/>
      <c r="B42" s="28"/>
      <c r="C42" s="28"/>
      <c r="D42" s="30"/>
      <c r="E42" s="29"/>
      <c r="F42" s="28"/>
      <c r="G42" s="28"/>
      <c r="H42" s="28"/>
    </row>
    <row r="43" customFormat="false" ht="15" hidden="false" customHeight="true" outlineLevel="0" collapsed="false">
      <c r="A43" s="27"/>
      <c r="B43" s="28"/>
      <c r="C43" s="28"/>
      <c r="D43" s="30"/>
      <c r="E43" s="29"/>
      <c r="F43" s="28"/>
      <c r="G43" s="28"/>
      <c r="H43" s="28"/>
    </row>
    <row r="44" customFormat="false" ht="15" hidden="false" customHeight="true" outlineLevel="0" collapsed="false">
      <c r="A44" s="27"/>
      <c r="B44" s="28"/>
      <c r="C44" s="28"/>
      <c r="D44" s="30"/>
      <c r="E44" s="29"/>
      <c r="F44" s="28"/>
      <c r="G44" s="28"/>
      <c r="H44" s="28"/>
    </row>
    <row r="45" customFormat="false" ht="15" hidden="false" customHeight="true" outlineLevel="0" collapsed="false">
      <c r="A45" s="27"/>
      <c r="B45" s="28"/>
      <c r="C45" s="28"/>
      <c r="D45" s="30"/>
      <c r="E45" s="29"/>
      <c r="F45" s="28"/>
      <c r="G45" s="28"/>
      <c r="H45" s="28"/>
    </row>
    <row r="46" customFormat="false" ht="15" hidden="false" customHeight="true" outlineLevel="0" collapsed="false">
      <c r="A46" s="27"/>
      <c r="B46" s="28"/>
      <c r="C46" s="28"/>
      <c r="D46" s="30"/>
      <c r="E46" s="29"/>
      <c r="F46" s="28"/>
      <c r="G46" s="28"/>
      <c r="H46" s="28"/>
    </row>
    <row r="47" customFormat="false" ht="15" hidden="false" customHeight="true" outlineLevel="0" collapsed="false">
      <c r="A47" s="27"/>
      <c r="B47" s="28"/>
      <c r="C47" s="28"/>
      <c r="D47" s="30"/>
      <c r="E47" s="29"/>
      <c r="F47" s="28"/>
      <c r="G47" s="28"/>
      <c r="H47" s="28"/>
    </row>
    <row r="48" customFormat="false" ht="15" hidden="false" customHeight="true" outlineLevel="0" collapsed="false">
      <c r="A48" s="27"/>
      <c r="B48" s="28"/>
      <c r="C48" s="28"/>
      <c r="D48" s="30"/>
      <c r="E48" s="29"/>
      <c r="F48" s="28"/>
      <c r="G48" s="28"/>
      <c r="H48" s="28"/>
    </row>
    <row r="49" customFormat="false" ht="15" hidden="false" customHeight="true" outlineLevel="0" collapsed="false">
      <c r="A49" s="27"/>
      <c r="B49" s="28"/>
      <c r="C49" s="28"/>
      <c r="D49" s="30"/>
      <c r="E49" s="29"/>
      <c r="F49" s="28"/>
      <c r="G49" s="28"/>
      <c r="H49" s="28"/>
    </row>
    <row r="50" customFormat="false" ht="15" hidden="false" customHeight="true" outlineLevel="0" collapsed="false">
      <c r="A50" s="27"/>
      <c r="B50" s="28"/>
      <c r="C50" s="28"/>
      <c r="D50" s="30"/>
      <c r="E50" s="29"/>
      <c r="F50" s="28"/>
      <c r="G50" s="28"/>
      <c r="H50" s="28"/>
    </row>
    <row r="51" customFormat="false" ht="15" hidden="false" customHeight="true" outlineLevel="0" collapsed="false">
      <c r="A51" s="27"/>
      <c r="B51" s="28"/>
      <c r="C51" s="28"/>
      <c r="D51" s="30"/>
      <c r="E51" s="29"/>
      <c r="F51" s="28"/>
      <c r="G51" s="28"/>
      <c r="H51" s="28"/>
    </row>
    <row r="52" customFormat="false" ht="15" hidden="false" customHeight="true" outlineLevel="0" collapsed="false">
      <c r="A52" s="27"/>
      <c r="B52" s="28"/>
      <c r="C52" s="28"/>
      <c r="D52" s="30"/>
      <c r="E52" s="29"/>
      <c r="F52" s="28"/>
      <c r="G52" s="28"/>
      <c r="H52" s="28"/>
    </row>
    <row r="53" customFormat="false" ht="15" hidden="false" customHeight="true" outlineLevel="0" collapsed="false">
      <c r="A53" s="27"/>
      <c r="B53" s="28"/>
      <c r="C53" s="28"/>
      <c r="D53" s="30"/>
      <c r="E53" s="29"/>
      <c r="F53" s="28"/>
      <c r="G53" s="28"/>
      <c r="H53" s="28"/>
    </row>
    <row r="54" customFormat="false" ht="15" hidden="false" customHeight="true" outlineLevel="0" collapsed="false">
      <c r="A54" s="27"/>
      <c r="B54" s="28"/>
      <c r="C54" s="28"/>
      <c r="D54" s="30"/>
      <c r="E54" s="29"/>
      <c r="F54" s="28"/>
      <c r="G54" s="28"/>
      <c r="H54" s="28"/>
    </row>
    <row r="55" customFormat="false" ht="15" hidden="false" customHeight="true" outlineLevel="0" collapsed="false">
      <c r="A55" s="27"/>
      <c r="B55" s="28"/>
      <c r="C55" s="28"/>
      <c r="D55" s="30"/>
      <c r="E55" s="29"/>
      <c r="F55" s="28"/>
      <c r="G55" s="28"/>
      <c r="H55" s="28"/>
    </row>
    <row r="56" customFormat="false" ht="15" hidden="false" customHeight="true" outlineLevel="0" collapsed="false">
      <c r="A56" s="27"/>
      <c r="B56" s="28"/>
      <c r="C56" s="28"/>
      <c r="D56" s="30"/>
      <c r="E56" s="29"/>
      <c r="F56" s="28"/>
      <c r="G56" s="28"/>
      <c r="H56" s="28"/>
    </row>
    <row r="57" customFormat="false" ht="15" hidden="false" customHeight="true" outlineLevel="0" collapsed="false">
      <c r="A57" s="27"/>
      <c r="B57" s="28"/>
      <c r="C57" s="28"/>
      <c r="D57" s="30"/>
      <c r="E57" s="29"/>
      <c r="F57" s="28"/>
      <c r="G57" s="28"/>
      <c r="H57" s="28"/>
    </row>
    <row r="58" customFormat="false" ht="15" hidden="false" customHeight="true" outlineLevel="0" collapsed="false">
      <c r="A58" s="27"/>
      <c r="B58" s="28"/>
      <c r="C58" s="28"/>
      <c r="D58" s="30"/>
      <c r="E58" s="29"/>
      <c r="F58" s="28"/>
      <c r="G58" s="28"/>
      <c r="H58" s="28"/>
    </row>
    <row r="59" customFormat="false" ht="15" hidden="false" customHeight="true" outlineLevel="0" collapsed="false">
      <c r="A59" s="27"/>
      <c r="B59" s="28"/>
      <c r="C59" s="28"/>
      <c r="D59" s="30"/>
      <c r="E59" s="29"/>
      <c r="F59" s="28"/>
      <c r="G59" s="28"/>
      <c r="H59" s="28"/>
    </row>
    <row r="60" customFormat="false" ht="15" hidden="false" customHeight="true" outlineLevel="0" collapsed="false">
      <c r="A60" s="27"/>
      <c r="B60" s="28"/>
      <c r="C60" s="28"/>
      <c r="D60" s="30"/>
      <c r="E60" s="29"/>
      <c r="F60" s="28"/>
      <c r="G60" s="28"/>
      <c r="H60" s="28"/>
    </row>
    <row r="61" customFormat="false" ht="15" hidden="false" customHeight="true" outlineLevel="0" collapsed="false">
      <c r="A61" s="27"/>
      <c r="B61" s="28"/>
      <c r="C61" s="28"/>
      <c r="D61" s="30"/>
      <c r="E61" s="29"/>
      <c r="F61" s="28"/>
      <c r="G61" s="28"/>
      <c r="H61" s="28"/>
    </row>
    <row r="62" customFormat="false" ht="15" hidden="false" customHeight="true" outlineLevel="0" collapsed="false">
      <c r="A62" s="27"/>
      <c r="B62" s="28"/>
      <c r="C62" s="28"/>
      <c r="D62" s="30"/>
      <c r="E62" s="29"/>
      <c r="F62" s="28"/>
      <c r="G62" s="28"/>
      <c r="H62" s="28"/>
    </row>
    <row r="63" customFormat="false" ht="15" hidden="false" customHeight="true" outlineLevel="0" collapsed="false">
      <c r="A63" s="27"/>
      <c r="B63" s="28"/>
      <c r="C63" s="28"/>
      <c r="D63" s="30"/>
      <c r="E63" s="29"/>
      <c r="F63" s="28"/>
      <c r="G63" s="28"/>
      <c r="H63" s="28"/>
    </row>
    <row r="64" customFormat="false" ht="15" hidden="false" customHeight="true" outlineLevel="0" collapsed="false">
      <c r="A64" s="27"/>
      <c r="B64" s="28"/>
      <c r="C64" s="28"/>
      <c r="D64" s="30"/>
      <c r="E64" s="29"/>
      <c r="F64" s="28"/>
      <c r="G64" s="28"/>
      <c r="H64" s="28"/>
    </row>
    <row r="65" customFormat="false" ht="15" hidden="false" customHeight="true" outlineLevel="0" collapsed="false">
      <c r="A65" s="27"/>
      <c r="B65" s="28"/>
      <c r="C65" s="28"/>
      <c r="D65" s="30"/>
      <c r="E65" s="29"/>
      <c r="F65" s="28"/>
      <c r="G65" s="28"/>
      <c r="H65" s="28"/>
    </row>
    <row r="66" customFormat="false" ht="15" hidden="false" customHeight="true" outlineLevel="0" collapsed="false">
      <c r="A66" s="27"/>
      <c r="B66" s="28"/>
      <c r="C66" s="28"/>
      <c r="D66" s="30"/>
      <c r="E66" s="29"/>
      <c r="F66" s="28"/>
      <c r="G66" s="28"/>
      <c r="H66" s="28"/>
    </row>
    <row r="67" customFormat="false" ht="15" hidden="false" customHeight="true" outlineLevel="0" collapsed="false">
      <c r="A67" s="27"/>
      <c r="B67" s="28"/>
      <c r="C67" s="28"/>
      <c r="D67" s="30"/>
      <c r="E67" s="29"/>
      <c r="F67" s="28"/>
      <c r="G67" s="28"/>
      <c r="H67" s="28"/>
    </row>
    <row r="68" customFormat="false" ht="15" hidden="false" customHeight="true" outlineLevel="0" collapsed="false">
      <c r="A68" s="27"/>
      <c r="B68" s="28"/>
      <c r="C68" s="28"/>
      <c r="D68" s="30"/>
      <c r="E68" s="29"/>
      <c r="F68" s="28"/>
      <c r="G68" s="28"/>
      <c r="H68" s="28"/>
    </row>
    <row r="69" customFormat="false" ht="15" hidden="false" customHeight="true" outlineLevel="0" collapsed="false">
      <c r="A69" s="27"/>
      <c r="B69" s="28"/>
      <c r="C69" s="28"/>
      <c r="D69" s="30"/>
      <c r="E69" s="29"/>
      <c r="F69" s="28"/>
      <c r="G69" s="28"/>
      <c r="H69" s="28"/>
    </row>
    <row r="70" customFormat="false" ht="15" hidden="false" customHeight="true" outlineLevel="0" collapsed="false">
      <c r="A70" s="27"/>
      <c r="B70" s="28"/>
      <c r="C70" s="28"/>
      <c r="D70" s="30"/>
      <c r="E70" s="29"/>
      <c r="F70" s="28"/>
      <c r="G70" s="28"/>
      <c r="H70" s="28"/>
    </row>
    <row r="71" customFormat="false" ht="15" hidden="false" customHeight="true" outlineLevel="0" collapsed="false">
      <c r="A71" s="27"/>
      <c r="B71" s="28"/>
      <c r="C71" s="28"/>
      <c r="D71" s="30"/>
      <c r="E71" s="29"/>
      <c r="F71" s="28"/>
      <c r="G71" s="28"/>
      <c r="H71" s="28"/>
    </row>
    <row r="72" customFormat="false" ht="15" hidden="false" customHeight="true" outlineLevel="0" collapsed="false">
      <c r="A72" s="27"/>
      <c r="B72" s="28"/>
      <c r="C72" s="28"/>
      <c r="D72" s="30"/>
      <c r="E72" s="29"/>
      <c r="F72" s="28"/>
      <c r="G72" s="28"/>
      <c r="H72" s="28"/>
    </row>
    <row r="73" customFormat="false" ht="15" hidden="false" customHeight="true" outlineLevel="0" collapsed="false">
      <c r="A73" s="27"/>
      <c r="B73" s="28"/>
      <c r="C73" s="28"/>
      <c r="D73" s="30"/>
      <c r="E73" s="29"/>
      <c r="F73" s="28"/>
      <c r="G73" s="28"/>
      <c r="H73" s="28"/>
    </row>
    <row r="74" customFormat="false" ht="15" hidden="false" customHeight="true" outlineLevel="0" collapsed="false">
      <c r="A74" s="27"/>
      <c r="B74" s="28"/>
      <c r="C74" s="28"/>
      <c r="D74" s="30"/>
      <c r="E74" s="29"/>
      <c r="F74" s="28"/>
      <c r="G74" s="28"/>
      <c r="H74" s="28"/>
    </row>
    <row r="75" customFormat="false" ht="15" hidden="false" customHeight="true" outlineLevel="0" collapsed="false">
      <c r="A75" s="27"/>
      <c r="B75" s="28"/>
      <c r="C75" s="28"/>
      <c r="D75" s="30"/>
      <c r="E75" s="29"/>
      <c r="F75" s="28"/>
      <c r="G75" s="28"/>
      <c r="H75" s="28"/>
    </row>
    <row r="76" customFormat="false" ht="15" hidden="false" customHeight="true" outlineLevel="0" collapsed="false">
      <c r="A76" s="27"/>
      <c r="B76" s="28"/>
      <c r="C76" s="28"/>
      <c r="D76" s="30"/>
      <c r="E76" s="29"/>
      <c r="F76" s="28"/>
      <c r="G76" s="28"/>
      <c r="H76" s="28"/>
    </row>
    <row r="77" customFormat="false" ht="15" hidden="false" customHeight="true" outlineLevel="0" collapsed="false">
      <c r="A77" s="27"/>
      <c r="B77" s="28"/>
      <c r="C77" s="28"/>
      <c r="D77" s="30"/>
      <c r="E77" s="29"/>
      <c r="F77" s="28"/>
      <c r="G77" s="28"/>
      <c r="H77" s="28"/>
    </row>
    <row r="78" customFormat="false" ht="15" hidden="false" customHeight="true" outlineLevel="0" collapsed="false">
      <c r="A78" s="27"/>
      <c r="B78" s="28"/>
      <c r="C78" s="28"/>
      <c r="D78" s="30"/>
      <c r="E78" s="29"/>
      <c r="F78" s="28"/>
      <c r="G78" s="28"/>
      <c r="H78" s="28"/>
    </row>
    <row r="79" customFormat="false" ht="15" hidden="false" customHeight="true" outlineLevel="0" collapsed="false">
      <c r="A79" s="27"/>
      <c r="B79" s="28"/>
      <c r="C79" s="28"/>
      <c r="D79" s="30"/>
      <c r="E79" s="29"/>
      <c r="F79" s="28"/>
      <c r="G79" s="28"/>
      <c r="H79" s="28"/>
    </row>
    <row r="80" customFormat="false" ht="15" hidden="false" customHeight="true" outlineLevel="0" collapsed="false">
      <c r="A80" s="27"/>
      <c r="B80" s="28"/>
      <c r="C80" s="28"/>
      <c r="D80" s="30"/>
      <c r="E80" s="29"/>
      <c r="F80" s="28"/>
      <c r="G80" s="28"/>
      <c r="H80" s="28"/>
    </row>
    <row r="81" customFormat="false" ht="15" hidden="false" customHeight="true" outlineLevel="0" collapsed="false">
      <c r="A81" s="27"/>
      <c r="B81" s="28"/>
      <c r="C81" s="28"/>
      <c r="D81" s="30"/>
      <c r="E81" s="29"/>
      <c r="F81" s="28"/>
      <c r="G81" s="28"/>
      <c r="H81" s="28"/>
    </row>
    <row r="82" customFormat="false" ht="15" hidden="false" customHeight="true" outlineLevel="0" collapsed="false">
      <c r="A82" s="27"/>
      <c r="B82" s="28"/>
      <c r="C82" s="28"/>
      <c r="D82" s="30"/>
      <c r="E82" s="29"/>
      <c r="F82" s="28"/>
      <c r="G82" s="28"/>
      <c r="H82" s="28"/>
    </row>
    <row r="83" customFormat="false" ht="15" hidden="false" customHeight="true" outlineLevel="0" collapsed="false">
      <c r="A83" s="27"/>
      <c r="B83" s="28"/>
      <c r="C83" s="28"/>
      <c r="D83" s="30"/>
      <c r="E83" s="29"/>
      <c r="F83" s="28"/>
      <c r="G83" s="28"/>
      <c r="H83" s="28"/>
    </row>
    <row r="84" customFormat="false" ht="15" hidden="false" customHeight="true" outlineLevel="0" collapsed="false">
      <c r="A84" s="27"/>
      <c r="B84" s="28"/>
      <c r="C84" s="28"/>
      <c r="D84" s="30"/>
      <c r="E84" s="29"/>
      <c r="F84" s="28"/>
      <c r="G84" s="28"/>
      <c r="H84" s="28"/>
    </row>
    <row r="85" customFormat="false" ht="15" hidden="false" customHeight="true" outlineLevel="0" collapsed="false">
      <c r="A85" s="27"/>
      <c r="B85" s="28"/>
      <c r="C85" s="28"/>
      <c r="D85" s="30"/>
      <c r="E85" s="29"/>
      <c r="F85" s="28"/>
      <c r="G85" s="28"/>
      <c r="H85" s="28"/>
    </row>
    <row r="86" customFormat="false" ht="15" hidden="false" customHeight="true" outlineLevel="0" collapsed="false">
      <c r="A86" s="27"/>
      <c r="B86" s="28"/>
      <c r="C86" s="28"/>
      <c r="D86" s="30"/>
      <c r="E86" s="29"/>
      <c r="F86" s="28"/>
      <c r="G86" s="28"/>
      <c r="H86" s="28"/>
    </row>
    <row r="87" customFormat="false" ht="15" hidden="false" customHeight="true" outlineLevel="0" collapsed="false">
      <c r="A87" s="27"/>
      <c r="B87" s="28"/>
      <c r="C87" s="28"/>
      <c r="D87" s="30"/>
      <c r="E87" s="29"/>
      <c r="F87" s="28"/>
      <c r="G87" s="28"/>
      <c r="H87" s="28"/>
    </row>
    <row r="88" customFormat="false" ht="15" hidden="false" customHeight="true" outlineLevel="0" collapsed="false">
      <c r="A88" s="27"/>
      <c r="B88" s="28"/>
      <c r="C88" s="28"/>
      <c r="D88" s="30"/>
      <c r="E88" s="29"/>
      <c r="F88" s="28"/>
      <c r="G88" s="28"/>
      <c r="H88" s="28"/>
    </row>
    <row r="89" customFormat="false" ht="15" hidden="false" customHeight="true" outlineLevel="0" collapsed="false">
      <c r="A89" s="27"/>
      <c r="B89" s="28"/>
      <c r="C89" s="28"/>
      <c r="D89" s="30"/>
      <c r="E89" s="29"/>
      <c r="F89" s="28"/>
      <c r="G89" s="28"/>
      <c r="H89" s="28"/>
    </row>
    <row r="90" customFormat="false" ht="15" hidden="false" customHeight="true" outlineLevel="0" collapsed="false">
      <c r="A90" s="27"/>
      <c r="B90" s="28"/>
      <c r="C90" s="28"/>
      <c r="D90" s="30"/>
      <c r="E90" s="29"/>
      <c r="F90" s="28"/>
      <c r="G90" s="28"/>
      <c r="H90" s="28"/>
    </row>
    <row r="91" customFormat="false" ht="15" hidden="false" customHeight="true" outlineLevel="0" collapsed="false">
      <c r="A91" s="27"/>
      <c r="B91" s="28"/>
      <c r="C91" s="28"/>
      <c r="D91" s="30"/>
      <c r="E91" s="29"/>
      <c r="F91" s="28"/>
      <c r="G91" s="28"/>
      <c r="H91" s="28"/>
    </row>
    <row r="92" customFormat="false" ht="15" hidden="false" customHeight="true" outlineLevel="0" collapsed="false">
      <c r="A92" s="27"/>
      <c r="B92" s="28"/>
      <c r="C92" s="28"/>
      <c r="D92" s="30"/>
      <c r="E92" s="29"/>
      <c r="F92" s="28"/>
      <c r="G92" s="28"/>
      <c r="H92" s="28"/>
    </row>
    <row r="93" customFormat="false" ht="15" hidden="false" customHeight="true" outlineLevel="0" collapsed="false">
      <c r="A93" s="27"/>
      <c r="B93" s="28"/>
      <c r="C93" s="28"/>
      <c r="D93" s="30"/>
      <c r="E93" s="29"/>
      <c r="F93" s="28"/>
      <c r="G93" s="28"/>
      <c r="H93" s="28"/>
    </row>
    <row r="94" customFormat="false" ht="15" hidden="false" customHeight="true" outlineLevel="0" collapsed="false">
      <c r="A94" s="27"/>
      <c r="B94" s="28"/>
      <c r="C94" s="28"/>
      <c r="D94" s="30"/>
      <c r="E94" s="29"/>
      <c r="F94" s="28"/>
      <c r="G94" s="28"/>
      <c r="H94" s="28"/>
    </row>
    <row r="95" customFormat="false" ht="15" hidden="false" customHeight="true" outlineLevel="0" collapsed="false">
      <c r="A95" s="27"/>
      <c r="B95" s="28"/>
      <c r="C95" s="28"/>
      <c r="D95" s="30"/>
      <c r="E95" s="29"/>
      <c r="F95" s="28"/>
      <c r="G95" s="28"/>
      <c r="H95" s="28"/>
    </row>
    <row r="96" customFormat="false" ht="15" hidden="false" customHeight="true" outlineLevel="0" collapsed="false">
      <c r="A96" s="27"/>
      <c r="B96" s="28"/>
      <c r="C96" s="28"/>
      <c r="D96" s="30"/>
      <c r="E96" s="29"/>
      <c r="F96" s="28"/>
      <c r="G96" s="28"/>
      <c r="H96" s="28"/>
    </row>
    <row r="97" customFormat="false" ht="15" hidden="false" customHeight="true" outlineLevel="0" collapsed="false">
      <c r="A97" s="27"/>
      <c r="B97" s="28"/>
      <c r="C97" s="28"/>
      <c r="D97" s="30"/>
      <c r="E97" s="29"/>
      <c r="F97" s="28"/>
      <c r="G97" s="28"/>
      <c r="H97" s="28"/>
    </row>
    <row r="98" customFormat="false" ht="15" hidden="false" customHeight="true" outlineLevel="0" collapsed="false">
      <c r="A98" s="27"/>
      <c r="B98" s="28"/>
      <c r="C98" s="28"/>
      <c r="D98" s="30"/>
      <c r="E98" s="29"/>
      <c r="F98" s="28"/>
      <c r="G98" s="28"/>
      <c r="H98" s="28"/>
    </row>
    <row r="99" customFormat="false" ht="15" hidden="false" customHeight="true" outlineLevel="0" collapsed="false">
      <c r="A99" s="27"/>
      <c r="B99" s="28"/>
      <c r="C99" s="28"/>
      <c r="D99" s="30"/>
      <c r="E99" s="29"/>
      <c r="F99" s="28"/>
      <c r="G99" s="28"/>
      <c r="H99" s="28"/>
    </row>
    <row r="100" customFormat="false" ht="15" hidden="false" customHeight="true" outlineLevel="0" collapsed="false">
      <c r="A100" s="27"/>
      <c r="B100" s="28"/>
      <c r="C100" s="28"/>
      <c r="D100" s="30"/>
      <c r="E100" s="29"/>
      <c r="F100" s="28"/>
      <c r="G100" s="28"/>
      <c r="H100" s="28"/>
    </row>
    <row r="101" customFormat="false" ht="15" hidden="false" customHeight="true" outlineLevel="0" collapsed="false">
      <c r="A101" s="27"/>
      <c r="B101" s="28"/>
      <c r="C101" s="28"/>
      <c r="D101" s="30"/>
      <c r="E101" s="29"/>
      <c r="F101" s="28"/>
      <c r="G101" s="28"/>
      <c r="H101" s="28"/>
    </row>
    <row r="102" customFormat="false" ht="15" hidden="false" customHeight="true" outlineLevel="0" collapsed="false">
      <c r="A102" s="27"/>
      <c r="B102" s="28"/>
      <c r="C102" s="28"/>
      <c r="D102" s="30"/>
      <c r="E102" s="29"/>
      <c r="F102" s="28"/>
      <c r="G102" s="28"/>
      <c r="H102" s="28"/>
    </row>
    <row r="103" customFormat="false" ht="15" hidden="false" customHeight="true" outlineLevel="0" collapsed="false">
      <c r="A103" s="27"/>
      <c r="B103" s="28"/>
      <c r="C103" s="28"/>
      <c r="D103" s="30"/>
      <c r="E103" s="29"/>
      <c r="F103" s="28"/>
      <c r="G103" s="28"/>
      <c r="H103" s="28"/>
    </row>
    <row r="104" customFormat="false" ht="15" hidden="false" customHeight="true" outlineLevel="0" collapsed="false">
      <c r="A104" s="27"/>
      <c r="B104" s="28"/>
      <c r="C104" s="28"/>
      <c r="D104" s="30"/>
      <c r="E104" s="29"/>
      <c r="F104" s="28"/>
      <c r="G104" s="28"/>
      <c r="H104" s="28"/>
    </row>
    <row r="105" customFormat="false" ht="15" hidden="false" customHeight="true" outlineLevel="0" collapsed="false">
      <c r="A105" s="27"/>
      <c r="B105" s="28"/>
      <c r="C105" s="28"/>
      <c r="D105" s="30"/>
      <c r="E105" s="29"/>
      <c r="F105" s="28"/>
      <c r="G105" s="28"/>
      <c r="H105" s="28"/>
    </row>
    <row r="106" customFormat="false" ht="15" hidden="false" customHeight="true" outlineLevel="0" collapsed="false">
      <c r="A106" s="27"/>
      <c r="B106" s="28"/>
      <c r="C106" s="28"/>
      <c r="D106" s="30"/>
      <c r="E106" s="29"/>
      <c r="F106" s="28"/>
      <c r="G106" s="28"/>
      <c r="H106" s="28"/>
    </row>
    <row r="107" customFormat="false" ht="15" hidden="false" customHeight="true" outlineLevel="0" collapsed="false">
      <c r="A107" s="27"/>
      <c r="B107" s="28"/>
      <c r="C107" s="28"/>
      <c r="D107" s="30"/>
      <c r="E107" s="29"/>
      <c r="F107" s="28"/>
      <c r="G107" s="28"/>
      <c r="H107" s="28"/>
    </row>
    <row r="108" customFormat="false" ht="15" hidden="false" customHeight="true" outlineLevel="0" collapsed="false">
      <c r="A108" s="27"/>
      <c r="B108" s="28"/>
      <c r="C108" s="28"/>
      <c r="D108" s="30"/>
      <c r="E108" s="29"/>
      <c r="F108" s="28"/>
      <c r="G108" s="28"/>
      <c r="H108" s="28"/>
    </row>
    <row r="109" customFormat="false" ht="15" hidden="false" customHeight="true" outlineLevel="0" collapsed="false">
      <c r="A109" s="27"/>
      <c r="B109" s="28"/>
      <c r="C109" s="28"/>
      <c r="D109" s="30"/>
      <c r="E109" s="29"/>
      <c r="F109" s="28"/>
      <c r="G109" s="28"/>
      <c r="H109" s="28"/>
    </row>
    <row r="110" customFormat="false" ht="15" hidden="false" customHeight="true" outlineLevel="0" collapsed="false">
      <c r="A110" s="27"/>
      <c r="B110" s="28"/>
      <c r="C110" s="28"/>
      <c r="D110" s="30"/>
      <c r="E110" s="29"/>
      <c r="F110" s="28"/>
      <c r="G110" s="28"/>
      <c r="H110" s="28"/>
    </row>
    <row r="111" customFormat="false" ht="15" hidden="false" customHeight="true" outlineLevel="0" collapsed="false">
      <c r="A111" s="27"/>
      <c r="B111" s="28"/>
      <c r="C111" s="28"/>
      <c r="D111" s="30"/>
      <c r="E111" s="29"/>
      <c r="F111" s="28"/>
      <c r="G111" s="28"/>
      <c r="H111" s="28"/>
    </row>
    <row r="112" customFormat="false" ht="15" hidden="false" customHeight="true" outlineLevel="0" collapsed="false">
      <c r="A112" s="27"/>
      <c r="B112" s="28"/>
      <c r="C112" s="28"/>
      <c r="D112" s="30"/>
      <c r="E112" s="29"/>
      <c r="F112" s="28"/>
      <c r="G112" s="28"/>
      <c r="H112" s="28"/>
    </row>
    <row r="113" customFormat="false" ht="15" hidden="false" customHeight="true" outlineLevel="0" collapsed="false">
      <c r="A113" s="27"/>
      <c r="B113" s="28"/>
      <c r="C113" s="28"/>
      <c r="D113" s="30"/>
      <c r="E113" s="29"/>
      <c r="F113" s="28"/>
      <c r="G113" s="28"/>
      <c r="H113" s="28"/>
    </row>
    <row r="114" customFormat="false" ht="15" hidden="false" customHeight="true" outlineLevel="0" collapsed="false">
      <c r="A114" s="27"/>
      <c r="B114" s="28"/>
      <c r="C114" s="28"/>
      <c r="D114" s="30"/>
      <c r="E114" s="29"/>
      <c r="F114" s="28"/>
      <c r="G114" s="28"/>
      <c r="H114" s="28"/>
    </row>
    <row r="115" customFormat="false" ht="15" hidden="false" customHeight="true" outlineLevel="0" collapsed="false">
      <c r="A115" s="27"/>
      <c r="B115" s="28"/>
      <c r="C115" s="28"/>
      <c r="D115" s="30"/>
      <c r="E115" s="29"/>
      <c r="F115" s="28"/>
      <c r="G115" s="28"/>
      <c r="H115" s="28"/>
    </row>
    <row r="116" customFormat="false" ht="15" hidden="false" customHeight="true" outlineLevel="0" collapsed="false">
      <c r="A116" s="27"/>
      <c r="B116" s="28"/>
      <c r="C116" s="28"/>
      <c r="D116" s="30"/>
      <c r="E116" s="29"/>
      <c r="F116" s="28"/>
      <c r="G116" s="28"/>
      <c r="H116" s="28"/>
    </row>
    <row r="117" customFormat="false" ht="15" hidden="false" customHeight="true" outlineLevel="0" collapsed="false">
      <c r="A117" s="27"/>
      <c r="B117" s="28"/>
      <c r="C117" s="28"/>
      <c r="D117" s="30"/>
      <c r="E117" s="29"/>
      <c r="F117" s="28"/>
      <c r="G117" s="28"/>
      <c r="H117" s="28"/>
    </row>
    <row r="118" customFormat="false" ht="15" hidden="false" customHeight="true" outlineLevel="0" collapsed="false">
      <c r="A118" s="27"/>
      <c r="B118" s="28"/>
      <c r="C118" s="28"/>
      <c r="D118" s="30"/>
      <c r="E118" s="29"/>
      <c r="F118" s="28"/>
      <c r="G118" s="28"/>
      <c r="H118" s="28"/>
    </row>
    <row r="119" customFormat="false" ht="15" hidden="false" customHeight="true" outlineLevel="0" collapsed="false">
      <c r="A119" s="27"/>
      <c r="B119" s="28"/>
      <c r="C119" s="28"/>
      <c r="D119" s="30"/>
      <c r="E119" s="29"/>
      <c r="F119" s="28"/>
      <c r="G119" s="28"/>
      <c r="H119" s="28"/>
    </row>
    <row r="120" customFormat="false" ht="15" hidden="false" customHeight="true" outlineLevel="0" collapsed="false">
      <c r="A120" s="27"/>
      <c r="B120" s="28"/>
      <c r="C120" s="28"/>
      <c r="D120" s="30"/>
      <c r="E120" s="29"/>
      <c r="F120" s="28"/>
      <c r="G120" s="28"/>
      <c r="H120" s="28"/>
    </row>
    <row r="121" customFormat="false" ht="15" hidden="false" customHeight="true" outlineLevel="0" collapsed="false">
      <c r="A121" s="27"/>
      <c r="B121" s="28"/>
      <c r="C121" s="28"/>
      <c r="D121" s="30"/>
      <c r="E121" s="29"/>
      <c r="F121" s="28"/>
      <c r="G121" s="28"/>
      <c r="H121" s="28"/>
    </row>
    <row r="122" customFormat="false" ht="15" hidden="false" customHeight="true" outlineLevel="0" collapsed="false">
      <c r="A122" s="27"/>
      <c r="B122" s="28"/>
      <c r="C122" s="28"/>
      <c r="D122" s="30"/>
      <c r="E122" s="29"/>
      <c r="F122" s="28"/>
      <c r="G122" s="28"/>
      <c r="H122" s="28"/>
    </row>
    <row r="123" customFormat="false" ht="15" hidden="false" customHeight="true" outlineLevel="0" collapsed="false">
      <c r="A123" s="27"/>
      <c r="B123" s="28"/>
      <c r="C123" s="28"/>
      <c r="D123" s="30"/>
      <c r="E123" s="29"/>
      <c r="F123" s="28"/>
      <c r="G123" s="28"/>
      <c r="H123" s="28"/>
    </row>
    <row r="124" customFormat="false" ht="15" hidden="false" customHeight="true" outlineLevel="0" collapsed="false">
      <c r="A124" s="27"/>
      <c r="B124" s="28"/>
      <c r="C124" s="28"/>
      <c r="D124" s="30"/>
      <c r="E124" s="29"/>
      <c r="F124" s="28"/>
      <c r="G124" s="28"/>
      <c r="H124" s="28"/>
    </row>
    <row r="125" customFormat="false" ht="15" hidden="false" customHeight="true" outlineLevel="0" collapsed="false">
      <c r="A125" s="27"/>
      <c r="B125" s="28"/>
      <c r="C125" s="28"/>
      <c r="D125" s="30"/>
      <c r="E125" s="29"/>
      <c r="F125" s="28"/>
      <c r="G125" s="28"/>
      <c r="H125" s="28"/>
    </row>
    <row r="126" customFormat="false" ht="15" hidden="false" customHeight="true" outlineLevel="0" collapsed="false">
      <c r="A126" s="27"/>
      <c r="B126" s="28"/>
      <c r="C126" s="28"/>
      <c r="D126" s="30"/>
      <c r="E126" s="29"/>
      <c r="F126" s="28"/>
      <c r="G126" s="28"/>
      <c r="H126" s="28"/>
    </row>
    <row r="127" customFormat="false" ht="15" hidden="false" customHeight="true" outlineLevel="0" collapsed="false">
      <c r="A127" s="27"/>
      <c r="B127" s="28"/>
      <c r="C127" s="28"/>
      <c r="D127" s="30"/>
      <c r="E127" s="29"/>
      <c r="F127" s="28"/>
      <c r="G127" s="28"/>
      <c r="H127" s="28"/>
    </row>
    <row r="128" customFormat="false" ht="15" hidden="false" customHeight="true" outlineLevel="0" collapsed="false">
      <c r="A128" s="27"/>
      <c r="B128" s="28"/>
      <c r="C128" s="28"/>
      <c r="D128" s="30"/>
      <c r="E128" s="29"/>
      <c r="F128" s="28"/>
      <c r="G128" s="28"/>
      <c r="H128" s="28"/>
    </row>
    <row r="129" customFormat="false" ht="15" hidden="false" customHeight="true" outlineLevel="0" collapsed="false">
      <c r="A129" s="27"/>
      <c r="B129" s="28"/>
      <c r="C129" s="28"/>
      <c r="D129" s="30"/>
      <c r="E129" s="29"/>
      <c r="F129" s="28"/>
      <c r="G129" s="28"/>
      <c r="H129" s="28"/>
    </row>
    <row r="130" customFormat="false" ht="15" hidden="false" customHeight="true" outlineLevel="0" collapsed="false">
      <c r="A130" s="27"/>
      <c r="B130" s="28"/>
      <c r="C130" s="28"/>
      <c r="D130" s="30"/>
      <c r="E130" s="29"/>
      <c r="F130" s="28"/>
      <c r="G130" s="28"/>
      <c r="H130" s="28"/>
    </row>
    <row r="131" customFormat="false" ht="15" hidden="false" customHeight="true" outlineLevel="0" collapsed="false">
      <c r="A131" s="27"/>
      <c r="B131" s="28"/>
      <c r="C131" s="28"/>
      <c r="D131" s="30"/>
      <c r="E131" s="29"/>
      <c r="F131" s="28"/>
      <c r="G131" s="28"/>
      <c r="H131" s="28"/>
    </row>
    <row r="132" customFormat="false" ht="15" hidden="false" customHeight="true" outlineLevel="0" collapsed="false">
      <c r="A132" s="27"/>
      <c r="B132" s="28"/>
      <c r="C132" s="28"/>
      <c r="D132" s="30"/>
      <c r="E132" s="29"/>
      <c r="F132" s="28"/>
      <c r="G132" s="28"/>
      <c r="H132" s="28"/>
    </row>
    <row r="133" customFormat="false" ht="15" hidden="false" customHeight="true" outlineLevel="0" collapsed="false">
      <c r="A133" s="27"/>
      <c r="B133" s="28"/>
      <c r="C133" s="28"/>
      <c r="D133" s="30"/>
      <c r="E133" s="29"/>
      <c r="F133" s="28"/>
      <c r="G133" s="28"/>
      <c r="H133" s="28"/>
    </row>
    <row r="134" customFormat="false" ht="15" hidden="false" customHeight="true" outlineLevel="0" collapsed="false">
      <c r="A134" s="27"/>
      <c r="B134" s="28"/>
      <c r="C134" s="28"/>
      <c r="D134" s="30"/>
      <c r="E134" s="29"/>
      <c r="F134" s="28"/>
      <c r="G134" s="28"/>
      <c r="H134" s="28"/>
    </row>
    <row r="135" customFormat="false" ht="15" hidden="false" customHeight="true" outlineLevel="0" collapsed="false">
      <c r="A135" s="27"/>
      <c r="B135" s="28"/>
      <c r="C135" s="28"/>
      <c r="D135" s="30"/>
      <c r="E135" s="29"/>
      <c r="F135" s="28"/>
      <c r="G135" s="28"/>
      <c r="H135" s="28"/>
    </row>
    <row r="136" customFormat="false" ht="15" hidden="false" customHeight="true" outlineLevel="0" collapsed="false">
      <c r="A136" s="27"/>
      <c r="B136" s="28"/>
      <c r="C136" s="28"/>
      <c r="D136" s="30"/>
      <c r="E136" s="29"/>
      <c r="F136" s="28"/>
      <c r="G136" s="28"/>
      <c r="H136" s="28"/>
    </row>
    <row r="137" customFormat="false" ht="15" hidden="false" customHeight="true" outlineLevel="0" collapsed="false">
      <c r="A137" s="27"/>
      <c r="B137" s="28"/>
      <c r="C137" s="28"/>
      <c r="D137" s="30"/>
      <c r="E137" s="29"/>
      <c r="F137" s="28"/>
      <c r="G137" s="28"/>
      <c r="H137" s="28"/>
    </row>
    <row r="138" customFormat="false" ht="15" hidden="false" customHeight="true" outlineLevel="0" collapsed="false">
      <c r="A138" s="27"/>
      <c r="B138" s="28"/>
      <c r="C138" s="28"/>
      <c r="D138" s="30"/>
      <c r="E138" s="29"/>
      <c r="F138" s="28"/>
      <c r="G138" s="28"/>
      <c r="H138" s="28"/>
    </row>
    <row r="139" customFormat="false" ht="15" hidden="false" customHeight="true" outlineLevel="0" collapsed="false">
      <c r="A139" s="27"/>
      <c r="B139" s="28"/>
      <c r="C139" s="28"/>
      <c r="D139" s="30"/>
      <c r="E139" s="29"/>
      <c r="F139" s="28"/>
      <c r="G139" s="28"/>
      <c r="H139" s="28"/>
    </row>
    <row r="140" customFormat="false" ht="15" hidden="false" customHeight="true" outlineLevel="0" collapsed="false">
      <c r="A140" s="27"/>
      <c r="B140" s="28"/>
      <c r="C140" s="28"/>
      <c r="D140" s="30"/>
      <c r="E140" s="29"/>
      <c r="F140" s="28"/>
      <c r="G140" s="28"/>
      <c r="H140" s="28"/>
    </row>
    <row r="141" customFormat="false" ht="15" hidden="false" customHeight="true" outlineLevel="0" collapsed="false">
      <c r="A141" s="27"/>
      <c r="B141" s="28"/>
      <c r="C141" s="28"/>
      <c r="D141" s="30"/>
      <c r="E141" s="29"/>
      <c r="F141" s="28"/>
      <c r="G141" s="28"/>
      <c r="H141" s="28"/>
    </row>
    <row r="142" customFormat="false" ht="15" hidden="false" customHeight="true" outlineLevel="0" collapsed="false">
      <c r="A142" s="27"/>
      <c r="B142" s="28"/>
      <c r="C142" s="28"/>
      <c r="D142" s="30"/>
      <c r="E142" s="29"/>
      <c r="F142" s="28"/>
      <c r="G142" s="28"/>
      <c r="H142" s="28"/>
    </row>
    <row r="143" customFormat="false" ht="15" hidden="false" customHeight="true" outlineLevel="0" collapsed="false">
      <c r="A143" s="27"/>
      <c r="B143" s="28"/>
      <c r="C143" s="28"/>
      <c r="D143" s="30"/>
      <c r="E143" s="29"/>
      <c r="F143" s="28"/>
      <c r="G143" s="28"/>
      <c r="H143" s="28"/>
    </row>
    <row r="144" customFormat="false" ht="15" hidden="false" customHeight="true" outlineLevel="0" collapsed="false">
      <c r="A144" s="27"/>
      <c r="B144" s="28"/>
      <c r="C144" s="28"/>
      <c r="D144" s="30"/>
      <c r="E144" s="29"/>
      <c r="F144" s="28"/>
      <c r="G144" s="28"/>
      <c r="H144" s="28"/>
    </row>
    <row r="145" customFormat="false" ht="15" hidden="false" customHeight="true" outlineLevel="0" collapsed="false">
      <c r="A145" s="27"/>
      <c r="B145" s="28"/>
      <c r="C145" s="28"/>
      <c r="D145" s="30"/>
      <c r="E145" s="29"/>
      <c r="F145" s="28"/>
      <c r="G145" s="28"/>
      <c r="H145" s="28"/>
    </row>
    <row r="146" customFormat="false" ht="15" hidden="false" customHeight="true" outlineLevel="0" collapsed="false">
      <c r="A146" s="27"/>
      <c r="B146" s="28"/>
      <c r="C146" s="28"/>
      <c r="D146" s="30"/>
      <c r="E146" s="29"/>
      <c r="F146" s="28"/>
      <c r="G146" s="28"/>
      <c r="H146" s="28"/>
    </row>
    <row r="147" customFormat="false" ht="15" hidden="false" customHeight="true" outlineLevel="0" collapsed="false">
      <c r="A147" s="27"/>
      <c r="B147" s="28"/>
      <c r="C147" s="28"/>
      <c r="D147" s="30"/>
      <c r="E147" s="29"/>
      <c r="F147" s="28"/>
      <c r="G147" s="28"/>
      <c r="H147" s="28"/>
    </row>
    <row r="148" customFormat="false" ht="15" hidden="false" customHeight="true" outlineLevel="0" collapsed="false">
      <c r="A148" s="27"/>
      <c r="B148" s="28"/>
      <c r="C148" s="28"/>
      <c r="D148" s="30"/>
      <c r="E148" s="29"/>
      <c r="F148" s="28"/>
      <c r="G148" s="28"/>
      <c r="H148" s="28"/>
    </row>
    <row r="149" customFormat="false" ht="15" hidden="false" customHeight="true" outlineLevel="0" collapsed="false">
      <c r="A149" s="27"/>
      <c r="B149" s="28"/>
      <c r="C149" s="28"/>
      <c r="D149" s="30"/>
      <c r="E149" s="29"/>
      <c r="F149" s="28"/>
      <c r="G149" s="28"/>
      <c r="H149" s="28"/>
    </row>
    <row r="150" customFormat="false" ht="15" hidden="false" customHeight="true" outlineLevel="0" collapsed="false">
      <c r="A150" s="27"/>
      <c r="B150" s="28"/>
      <c r="C150" s="28"/>
      <c r="D150" s="30"/>
      <c r="E150" s="29"/>
      <c r="F150" s="28"/>
      <c r="G150" s="28"/>
      <c r="H150" s="28"/>
    </row>
    <row r="151" customFormat="false" ht="15" hidden="false" customHeight="true" outlineLevel="0" collapsed="false">
      <c r="A151" s="27"/>
      <c r="B151" s="28"/>
      <c r="C151" s="28"/>
      <c r="D151" s="30"/>
      <c r="E151" s="29"/>
      <c r="F151" s="28"/>
      <c r="G151" s="28"/>
      <c r="H151" s="28"/>
    </row>
    <row r="152" customFormat="false" ht="15" hidden="false" customHeight="true" outlineLevel="0" collapsed="false">
      <c r="A152" s="27"/>
      <c r="B152" s="28"/>
      <c r="C152" s="28"/>
      <c r="D152" s="30"/>
      <c r="E152" s="29"/>
      <c r="F152" s="28"/>
      <c r="G152" s="28"/>
      <c r="H152" s="28"/>
    </row>
    <row r="153" customFormat="false" ht="15" hidden="false" customHeight="true" outlineLevel="0" collapsed="false">
      <c r="A153" s="27"/>
      <c r="B153" s="28"/>
      <c r="C153" s="28"/>
      <c r="D153" s="30"/>
      <c r="E153" s="29"/>
      <c r="F153" s="28"/>
      <c r="G153" s="28"/>
      <c r="H153" s="28"/>
    </row>
    <row r="154" customFormat="false" ht="15" hidden="false" customHeight="true" outlineLevel="0" collapsed="false">
      <c r="A154" s="27"/>
      <c r="B154" s="28"/>
      <c r="C154" s="28"/>
      <c r="D154" s="30"/>
      <c r="E154" s="29"/>
      <c r="F154" s="28"/>
      <c r="G154" s="28"/>
      <c r="H154" s="28"/>
    </row>
    <row r="155" customFormat="false" ht="15" hidden="false" customHeight="true" outlineLevel="0" collapsed="false">
      <c r="A155" s="27"/>
      <c r="B155" s="28"/>
      <c r="C155" s="28"/>
      <c r="D155" s="30"/>
      <c r="E155" s="29"/>
      <c r="F155" s="28"/>
      <c r="G155" s="28"/>
      <c r="H155" s="28"/>
    </row>
    <row r="156" customFormat="false" ht="15" hidden="false" customHeight="true" outlineLevel="0" collapsed="false">
      <c r="A156" s="27"/>
      <c r="B156" s="28"/>
      <c r="C156" s="28"/>
      <c r="D156" s="30"/>
      <c r="E156" s="29"/>
      <c r="F156" s="28"/>
      <c r="G156" s="28"/>
      <c r="H156" s="28"/>
    </row>
    <row r="157" customFormat="false" ht="15" hidden="false" customHeight="true" outlineLevel="0" collapsed="false">
      <c r="A157" s="27"/>
      <c r="B157" s="28"/>
      <c r="C157" s="28"/>
      <c r="D157" s="30"/>
      <c r="E157" s="29"/>
      <c r="F157" s="28"/>
      <c r="G157" s="28"/>
      <c r="H157" s="28"/>
    </row>
    <row r="158" customFormat="false" ht="15" hidden="false" customHeight="true" outlineLevel="0" collapsed="false">
      <c r="A158" s="27"/>
      <c r="B158" s="28"/>
      <c r="C158" s="28"/>
      <c r="D158" s="30"/>
      <c r="E158" s="29"/>
      <c r="F158" s="28"/>
      <c r="G158" s="28"/>
      <c r="H158" s="28"/>
    </row>
    <row r="159" customFormat="false" ht="15" hidden="false" customHeight="true" outlineLevel="0" collapsed="false">
      <c r="A159" s="27"/>
      <c r="B159" s="28"/>
      <c r="C159" s="28"/>
      <c r="D159" s="30"/>
      <c r="E159" s="29"/>
      <c r="F159" s="28"/>
      <c r="G159" s="28"/>
      <c r="H159" s="28"/>
    </row>
    <row r="160" customFormat="false" ht="15" hidden="false" customHeight="true" outlineLevel="0" collapsed="false">
      <c r="A160" s="27"/>
      <c r="B160" s="28"/>
      <c r="C160" s="28"/>
      <c r="D160" s="30"/>
      <c r="E160" s="29"/>
      <c r="F160" s="28"/>
      <c r="G160" s="28"/>
      <c r="H160" s="28"/>
    </row>
    <row r="161" customFormat="false" ht="15" hidden="false" customHeight="true" outlineLevel="0" collapsed="false">
      <c r="A161" s="27"/>
      <c r="B161" s="28"/>
      <c r="C161" s="28"/>
      <c r="D161" s="30"/>
      <c r="E161" s="29"/>
      <c r="F161" s="28"/>
      <c r="G161" s="28"/>
      <c r="H161" s="28"/>
    </row>
    <row r="162" customFormat="false" ht="15" hidden="false" customHeight="true" outlineLevel="0" collapsed="false">
      <c r="A162" s="27"/>
      <c r="B162" s="28"/>
      <c r="C162" s="28"/>
      <c r="D162" s="30"/>
      <c r="E162" s="29"/>
      <c r="F162" s="28"/>
      <c r="G162" s="28"/>
      <c r="H162" s="28"/>
    </row>
    <row r="163" customFormat="false" ht="15" hidden="false" customHeight="true" outlineLevel="0" collapsed="false">
      <c r="A163" s="27"/>
      <c r="B163" s="28"/>
      <c r="C163" s="28"/>
      <c r="D163" s="30"/>
      <c r="E163" s="29"/>
      <c r="F163" s="28"/>
      <c r="G163" s="28"/>
      <c r="H163" s="28"/>
    </row>
    <row r="164" customFormat="false" ht="15" hidden="false" customHeight="true" outlineLevel="0" collapsed="false">
      <c r="A164" s="27"/>
      <c r="B164" s="28"/>
      <c r="C164" s="28"/>
      <c r="D164" s="30"/>
      <c r="E164" s="29"/>
      <c r="F164" s="28"/>
      <c r="G164" s="28"/>
      <c r="H164" s="28"/>
    </row>
    <row r="165" customFormat="false" ht="15" hidden="false" customHeight="true" outlineLevel="0" collapsed="false">
      <c r="A165" s="27"/>
      <c r="B165" s="28"/>
      <c r="C165" s="28"/>
      <c r="D165" s="30"/>
      <c r="E165" s="29"/>
      <c r="F165" s="28"/>
      <c r="G165" s="28"/>
      <c r="H165" s="28"/>
    </row>
    <row r="166" customFormat="false" ht="15" hidden="false" customHeight="true" outlineLevel="0" collapsed="false">
      <c r="A166" s="27"/>
      <c r="B166" s="28"/>
      <c r="C166" s="28"/>
      <c r="D166" s="30"/>
      <c r="E166" s="29"/>
      <c r="F166" s="28"/>
      <c r="G166" s="28"/>
      <c r="H166" s="28"/>
    </row>
    <row r="167" customFormat="false" ht="15" hidden="false" customHeight="true" outlineLevel="0" collapsed="false">
      <c r="A167" s="27"/>
      <c r="B167" s="28"/>
      <c r="C167" s="28"/>
      <c r="D167" s="30"/>
      <c r="E167" s="29"/>
      <c r="F167" s="28"/>
      <c r="G167" s="28"/>
      <c r="H167" s="28"/>
    </row>
    <row r="168" customFormat="false" ht="15" hidden="false" customHeight="true" outlineLevel="0" collapsed="false">
      <c r="A168" s="27"/>
      <c r="B168" s="28"/>
      <c r="C168" s="28"/>
      <c r="D168" s="30"/>
      <c r="E168" s="29"/>
      <c r="F168" s="28"/>
      <c r="G168" s="28"/>
      <c r="H168" s="28"/>
    </row>
    <row r="169" customFormat="false" ht="15" hidden="false" customHeight="true" outlineLevel="0" collapsed="false">
      <c r="A169" s="27"/>
      <c r="B169" s="28"/>
      <c r="C169" s="28"/>
      <c r="D169" s="30"/>
      <c r="E169" s="29"/>
      <c r="F169" s="28"/>
      <c r="G169" s="28"/>
      <c r="H169" s="28"/>
    </row>
    <row r="170" customFormat="false" ht="15" hidden="false" customHeight="true" outlineLevel="0" collapsed="false">
      <c r="A170" s="27"/>
      <c r="B170" s="28"/>
      <c r="C170" s="28"/>
      <c r="D170" s="30"/>
      <c r="E170" s="29"/>
      <c r="F170" s="28"/>
      <c r="G170" s="28"/>
      <c r="H170" s="28"/>
    </row>
    <row r="171" customFormat="false" ht="15" hidden="false" customHeight="true" outlineLevel="0" collapsed="false">
      <c r="A171" s="27"/>
      <c r="B171" s="28"/>
      <c r="C171" s="28"/>
      <c r="D171" s="30"/>
      <c r="E171" s="29"/>
      <c r="F171" s="28"/>
      <c r="G171" s="28"/>
      <c r="H171" s="28"/>
    </row>
    <row r="172" customFormat="false" ht="15" hidden="false" customHeight="true" outlineLevel="0" collapsed="false">
      <c r="A172" s="27"/>
      <c r="B172" s="28"/>
      <c r="C172" s="28"/>
      <c r="D172" s="30"/>
      <c r="E172" s="29"/>
      <c r="F172" s="28"/>
      <c r="G172" s="28"/>
      <c r="H172" s="28"/>
    </row>
    <row r="173" customFormat="false" ht="15" hidden="false" customHeight="true" outlineLevel="0" collapsed="false">
      <c r="A173" s="27"/>
      <c r="B173" s="28"/>
      <c r="C173" s="28"/>
      <c r="D173" s="30"/>
      <c r="E173" s="29"/>
      <c r="F173" s="28"/>
      <c r="G173" s="28"/>
      <c r="H173" s="28"/>
    </row>
    <row r="174" customFormat="false" ht="15" hidden="false" customHeight="true" outlineLevel="0" collapsed="false">
      <c r="A174" s="27"/>
      <c r="B174" s="28"/>
      <c r="C174" s="28"/>
      <c r="D174" s="30"/>
      <c r="E174" s="29"/>
      <c r="F174" s="28"/>
      <c r="G174" s="28"/>
      <c r="H174" s="28"/>
    </row>
    <row r="175" customFormat="false" ht="15" hidden="false" customHeight="true" outlineLevel="0" collapsed="false">
      <c r="A175" s="27"/>
      <c r="B175" s="28"/>
      <c r="C175" s="28"/>
      <c r="D175" s="30"/>
      <c r="E175" s="29"/>
      <c r="F175" s="28"/>
      <c r="G175" s="28"/>
      <c r="H175" s="28"/>
    </row>
    <row r="176" customFormat="false" ht="15" hidden="false" customHeight="true" outlineLevel="0" collapsed="false">
      <c r="A176" s="27"/>
      <c r="B176" s="28"/>
      <c r="C176" s="28"/>
      <c r="D176" s="30"/>
      <c r="E176" s="29"/>
      <c r="F176" s="28"/>
      <c r="G176" s="28"/>
      <c r="H176" s="28"/>
    </row>
    <row r="177" customFormat="false" ht="15" hidden="false" customHeight="true" outlineLevel="0" collapsed="false">
      <c r="A177" s="27"/>
      <c r="B177" s="28"/>
      <c r="C177" s="28"/>
      <c r="D177" s="30"/>
      <c r="E177" s="29"/>
      <c r="F177" s="28"/>
      <c r="G177" s="28"/>
      <c r="H177" s="28"/>
    </row>
    <row r="178" customFormat="false" ht="15" hidden="false" customHeight="true" outlineLevel="0" collapsed="false">
      <c r="A178" s="27"/>
      <c r="B178" s="28"/>
      <c r="C178" s="28"/>
      <c r="D178" s="30"/>
      <c r="E178" s="29"/>
      <c r="F178" s="28"/>
      <c r="G178" s="28"/>
      <c r="H178" s="28"/>
    </row>
    <row r="179" customFormat="false" ht="15" hidden="false" customHeight="true" outlineLevel="0" collapsed="false">
      <c r="A179" s="27"/>
      <c r="B179" s="28"/>
      <c r="C179" s="28"/>
      <c r="D179" s="30"/>
      <c r="E179" s="29"/>
      <c r="F179" s="28"/>
      <c r="G179" s="28"/>
      <c r="H179" s="28"/>
    </row>
    <row r="180" customFormat="false" ht="15" hidden="false" customHeight="true" outlineLevel="0" collapsed="false">
      <c r="A180" s="27"/>
      <c r="B180" s="28"/>
      <c r="C180" s="28"/>
      <c r="D180" s="30"/>
      <c r="E180" s="29"/>
      <c r="F180" s="28"/>
      <c r="G180" s="28"/>
      <c r="H180" s="28"/>
    </row>
    <row r="181" customFormat="false" ht="15" hidden="false" customHeight="true" outlineLevel="0" collapsed="false">
      <c r="A181" s="27"/>
      <c r="B181" s="28"/>
      <c r="C181" s="28"/>
      <c r="D181" s="30"/>
      <c r="E181" s="29"/>
      <c r="F181" s="28"/>
      <c r="G181" s="28"/>
      <c r="H181" s="28"/>
    </row>
    <row r="182" customFormat="false" ht="15" hidden="false" customHeight="true" outlineLevel="0" collapsed="false">
      <c r="A182" s="27"/>
      <c r="B182" s="28"/>
      <c r="C182" s="28"/>
      <c r="D182" s="30"/>
      <c r="E182" s="29"/>
      <c r="F182" s="28"/>
      <c r="G182" s="28"/>
      <c r="H182" s="28"/>
    </row>
    <row r="183" customFormat="false" ht="15" hidden="false" customHeight="true" outlineLevel="0" collapsed="false">
      <c r="A183" s="27"/>
      <c r="B183" s="28"/>
      <c r="C183" s="28"/>
      <c r="D183" s="30"/>
      <c r="E183" s="29"/>
      <c r="F183" s="28"/>
      <c r="G183" s="28"/>
      <c r="H183" s="28"/>
    </row>
    <row r="184" customFormat="false" ht="15" hidden="false" customHeight="true" outlineLevel="0" collapsed="false">
      <c r="A184" s="27"/>
      <c r="B184" s="28"/>
      <c r="C184" s="28"/>
      <c r="D184" s="30"/>
      <c r="E184" s="29"/>
      <c r="F184" s="28"/>
      <c r="G184" s="28"/>
      <c r="H184" s="28"/>
    </row>
    <row r="185" customFormat="false" ht="15" hidden="false" customHeight="true" outlineLevel="0" collapsed="false">
      <c r="A185" s="27"/>
      <c r="B185" s="28"/>
      <c r="C185" s="28"/>
      <c r="D185" s="30"/>
      <c r="E185" s="29"/>
      <c r="F185" s="28"/>
      <c r="G185" s="28"/>
      <c r="H185" s="28"/>
    </row>
    <row r="186" customFormat="false" ht="15" hidden="false" customHeight="true" outlineLevel="0" collapsed="false">
      <c r="A186" s="27"/>
      <c r="B186" s="28"/>
      <c r="C186" s="28"/>
      <c r="D186" s="30"/>
      <c r="E186" s="29"/>
      <c r="F186" s="28"/>
      <c r="G186" s="28"/>
      <c r="H186" s="28"/>
    </row>
    <row r="187" customFormat="false" ht="15" hidden="false" customHeight="true" outlineLevel="0" collapsed="false">
      <c r="A187" s="27"/>
      <c r="B187" s="28"/>
      <c r="C187" s="28"/>
      <c r="D187" s="30"/>
      <c r="E187" s="29"/>
      <c r="F187" s="28"/>
      <c r="G187" s="28"/>
      <c r="H187" s="28"/>
    </row>
    <row r="188" customFormat="false" ht="15" hidden="false" customHeight="true" outlineLevel="0" collapsed="false">
      <c r="A188" s="27"/>
      <c r="B188" s="28"/>
      <c r="C188" s="28"/>
      <c r="D188" s="30"/>
      <c r="E188" s="29"/>
      <c r="F188" s="28"/>
      <c r="G188" s="28"/>
      <c r="H188" s="28"/>
    </row>
    <row r="189" customFormat="false" ht="15" hidden="false" customHeight="true" outlineLevel="0" collapsed="false">
      <c r="A189" s="27"/>
      <c r="B189" s="28"/>
      <c r="C189" s="28"/>
      <c r="D189" s="30"/>
      <c r="E189" s="29"/>
      <c r="F189" s="28"/>
      <c r="G189" s="28"/>
      <c r="H189" s="28"/>
    </row>
    <row r="190" customFormat="false" ht="15" hidden="false" customHeight="true" outlineLevel="0" collapsed="false">
      <c r="A190" s="27"/>
      <c r="B190" s="28"/>
      <c r="C190" s="28"/>
      <c r="D190" s="30"/>
      <c r="E190" s="29"/>
      <c r="F190" s="28"/>
      <c r="G190" s="28"/>
      <c r="H190" s="28"/>
    </row>
    <row r="191" customFormat="false" ht="15" hidden="false" customHeight="true" outlineLevel="0" collapsed="false">
      <c r="A191" s="27"/>
      <c r="B191" s="28"/>
      <c r="C191" s="28"/>
      <c r="D191" s="30"/>
      <c r="E191" s="29"/>
      <c r="F191" s="28"/>
      <c r="G191" s="28"/>
      <c r="H191" s="28"/>
    </row>
    <row r="192" customFormat="false" ht="15" hidden="false" customHeight="true" outlineLevel="0" collapsed="false">
      <c r="A192" s="27"/>
      <c r="B192" s="28"/>
      <c r="C192" s="28"/>
      <c r="D192" s="30"/>
      <c r="E192" s="29"/>
      <c r="F192" s="28"/>
      <c r="G192" s="28"/>
      <c r="H192" s="28"/>
    </row>
    <row r="193" customFormat="false" ht="15" hidden="false" customHeight="true" outlineLevel="0" collapsed="false">
      <c r="A193" s="27"/>
      <c r="B193" s="28"/>
      <c r="C193" s="28"/>
      <c r="D193" s="30"/>
      <c r="E193" s="29"/>
      <c r="F193" s="28"/>
      <c r="G193" s="28"/>
      <c r="H193" s="28"/>
    </row>
    <row r="194" customFormat="false" ht="15" hidden="false" customHeight="true" outlineLevel="0" collapsed="false">
      <c r="A194" s="27"/>
      <c r="B194" s="28"/>
      <c r="C194" s="28"/>
      <c r="D194" s="30"/>
      <c r="E194" s="29"/>
      <c r="F194" s="28"/>
      <c r="G194" s="28"/>
      <c r="H194" s="28"/>
    </row>
    <row r="195" customFormat="false" ht="15" hidden="false" customHeight="true" outlineLevel="0" collapsed="false">
      <c r="A195" s="27"/>
      <c r="B195" s="28"/>
      <c r="C195" s="28"/>
      <c r="D195" s="30"/>
      <c r="E195" s="29"/>
      <c r="F195" s="28"/>
      <c r="G195" s="28"/>
      <c r="H195" s="28"/>
    </row>
    <row r="196" customFormat="false" ht="15" hidden="false" customHeight="true" outlineLevel="0" collapsed="false">
      <c r="A196" s="27"/>
      <c r="B196" s="28"/>
      <c r="C196" s="28"/>
      <c r="D196" s="30"/>
      <c r="E196" s="29"/>
      <c r="F196" s="28"/>
      <c r="G196" s="28"/>
      <c r="H196" s="28"/>
    </row>
    <row r="197" customFormat="false" ht="15" hidden="false" customHeight="true" outlineLevel="0" collapsed="false">
      <c r="A197" s="27"/>
      <c r="B197" s="28"/>
      <c r="C197" s="28"/>
      <c r="D197" s="30"/>
      <c r="E197" s="29"/>
      <c r="F197" s="28"/>
      <c r="G197" s="28"/>
      <c r="H197" s="28"/>
    </row>
    <row r="198" customFormat="false" ht="15" hidden="false" customHeight="true" outlineLevel="0" collapsed="false">
      <c r="A198" s="27"/>
      <c r="B198" s="28"/>
      <c r="C198" s="28"/>
      <c r="D198" s="30"/>
      <c r="E198" s="29"/>
      <c r="F198" s="28"/>
      <c r="G198" s="28"/>
      <c r="H198" s="28"/>
    </row>
    <row r="199" customFormat="false" ht="15" hidden="false" customHeight="true" outlineLevel="0" collapsed="false">
      <c r="A199" s="27"/>
      <c r="B199" s="28"/>
      <c r="C199" s="28"/>
      <c r="D199" s="30"/>
      <c r="E199" s="29"/>
      <c r="F199" s="28"/>
      <c r="G199" s="28"/>
      <c r="H199" s="28"/>
    </row>
    <row r="200" customFormat="false" ht="15" hidden="false" customHeight="true" outlineLevel="0" collapsed="false">
      <c r="A200" s="27"/>
      <c r="B200" s="28"/>
      <c r="C200" s="28"/>
      <c r="D200" s="30"/>
      <c r="E200" s="29"/>
      <c r="F200" s="28"/>
      <c r="G200" s="28"/>
      <c r="H200" s="28"/>
    </row>
    <row r="201" customFormat="false" ht="15" hidden="false" customHeight="true" outlineLevel="0" collapsed="false">
      <c r="A201" s="27"/>
      <c r="B201" s="28"/>
      <c r="C201" s="28"/>
      <c r="D201" s="30"/>
      <c r="E201" s="29"/>
      <c r="F201" s="28"/>
      <c r="G201" s="28"/>
      <c r="H201" s="28"/>
    </row>
    <row r="202" customFormat="false" ht="15" hidden="false" customHeight="true" outlineLevel="0" collapsed="false">
      <c r="A202" s="27"/>
      <c r="B202" s="28"/>
      <c r="C202" s="28"/>
      <c r="D202" s="30"/>
      <c r="E202" s="29"/>
      <c r="F202" s="28"/>
      <c r="G202" s="28"/>
      <c r="H202" s="28"/>
    </row>
    <row r="203" customFormat="false" ht="15" hidden="false" customHeight="true" outlineLevel="0" collapsed="false">
      <c r="A203" s="27"/>
      <c r="B203" s="28"/>
      <c r="C203" s="28"/>
      <c r="D203" s="30"/>
      <c r="E203" s="29"/>
      <c r="F203" s="28"/>
      <c r="G203" s="28"/>
      <c r="H203" s="28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B4:B203" type="list">
      <formula1>"จอนชาวไร่,Kingpro,Over,24BuyM"</formula1>
      <formula2>0</formula2>
    </dataValidation>
    <dataValidation allowBlank="true" errorStyle="stop" operator="between" showDropDown="false" showErrorMessage="false" showInputMessage="false" sqref="F4:F203" type="list">
      <formula1>"รอจัดส่ง,กำลังส่ง,ได้รับแล้ว,มีปัญหา"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6" min="4" style="1" width="16"/>
    <col collapsed="false" customWidth="true" hidden="false" outlineLevel="0" max="7" min="7" style="1" width="12"/>
  </cols>
  <sheetData>
    <row r="1" customFormat="false" ht="25.5" hidden="false" customHeight="true" outlineLevel="0" collapsed="false">
      <c r="A1" s="6" t="s">
        <v>120</v>
      </c>
      <c r="B1" s="6"/>
      <c r="C1" s="6"/>
      <c r="D1" s="6"/>
      <c r="E1" s="6"/>
      <c r="F1" s="6"/>
      <c r="G1" s="6"/>
    </row>
    <row r="3" customFormat="false" ht="30" hidden="false" customHeight="true" outlineLevel="0" collapsed="false">
      <c r="A3" s="16" t="s">
        <v>27</v>
      </c>
      <c r="B3" s="16" t="s">
        <v>28</v>
      </c>
      <c r="C3" s="16" t="s">
        <v>29</v>
      </c>
      <c r="D3" s="16" t="s">
        <v>55</v>
      </c>
      <c r="E3" s="16" t="s">
        <v>54</v>
      </c>
      <c r="F3" s="16" t="s">
        <v>56</v>
      </c>
      <c r="G3" s="16" t="s">
        <v>33</v>
      </c>
    </row>
    <row r="4" customFormat="false" ht="15" hidden="false" customHeight="true" outlineLevel="0" collapsed="false">
      <c r="A4" s="33" t="n">
        <v>1</v>
      </c>
      <c r="B4" s="18" t="str">
        <f aca="false">IFERROR(IF(LARGE(_agg!$G$2:$G$60,1)&gt;=1,INDEX(_agg!$A$2:$A$60,MATCH(LARGE(_agg!$G$2:$G$60,1),_agg!$G$2:$G$60,0)),""),"")</f>
        <v>Genshin Impact</v>
      </c>
      <c r="C4" s="34" t="n">
        <f aca="false">IF(B4="","",IFERROR(VLOOKUP(B4,_agg!$A$2:$F$60,2,FALSE()),""))</f>
        <v>3</v>
      </c>
      <c r="D4" s="35" t="n">
        <f aca="false">IF(B4="","",IFERROR(VLOOKUP(B4,_agg!$A$2:$F$60,3,FALSE()),""))</f>
        <v>1520</v>
      </c>
      <c r="E4" s="35" t="n">
        <f aca="false">IF(B4="","",IFERROR(VLOOKUP(B4,_agg!$A$2:$F$60,4,FALSE()),""))</f>
        <v>1280</v>
      </c>
      <c r="F4" s="35" t="n">
        <f aca="false">IF(B4="","",IFERROR(VLOOKUP(B4,_agg!$A$2:$F$60,5,FALSE()),""))</f>
        <v>240</v>
      </c>
      <c r="G4" s="36" t="n">
        <f aca="false">IF(B4="","",IFERROR(VLOOKUP(B4,_agg!$A$2:$F$60,6,FALSE()),""))</f>
        <v>0.157894736842105</v>
      </c>
    </row>
    <row r="5" customFormat="false" ht="15" hidden="false" customHeight="true" outlineLevel="0" collapsed="false">
      <c r="A5" s="33" t="n">
        <v>2</v>
      </c>
      <c r="B5" s="18" t="str">
        <f aca="false">IFERROR(IF(LARGE(_agg!$G$2:$G$60,2)&gt;=1,INDEX(_agg!$A$2:$A$60,MATCH(LARGE(_agg!$G$2:$G$60,2),_agg!$G$2:$G$60,0)),""),"")</f>
        <v>Free Fire</v>
      </c>
      <c r="C5" s="34" t="n">
        <f aca="false">IF(B5="","",IFERROR(VLOOKUP(B5,_agg!$A$2:$F$60,2,FALSE()),""))</f>
        <v>3</v>
      </c>
      <c r="D5" s="35" t="n">
        <f aca="false">IF(B5="","",IFERROR(VLOOKUP(B5,_agg!$A$2:$F$60,3,FALSE()),""))</f>
        <v>290</v>
      </c>
      <c r="E5" s="35" t="n">
        <f aca="false">IF(B5="","",IFERROR(VLOOKUP(B5,_agg!$A$2:$F$60,4,FALSE()),""))</f>
        <v>215</v>
      </c>
      <c r="F5" s="35" t="n">
        <f aca="false">IF(B5="","",IFERROR(VLOOKUP(B5,_agg!$A$2:$F$60,5,FALSE()),""))</f>
        <v>75</v>
      </c>
      <c r="G5" s="36" t="n">
        <f aca="false">IF(B5="","",IFERROR(VLOOKUP(B5,_agg!$A$2:$F$60,6,FALSE()),""))</f>
        <v>0.258620689655172</v>
      </c>
    </row>
    <row r="6" customFormat="false" ht="15" hidden="false" customHeight="true" outlineLevel="0" collapsed="false">
      <c r="A6" s="33" t="n">
        <v>3</v>
      </c>
      <c r="B6" s="18" t="str">
        <f aca="false">IFERROR(IF(LARGE(_agg!$G$2:$G$60,3)&gt;=1,INDEX(_agg!$A$2:$A$60,MATCH(LARGE(_agg!$G$2:$G$60,3),_agg!$G$2:$G$60,0)),""),"")</f>
        <v>ROV</v>
      </c>
      <c r="C6" s="34" t="n">
        <f aca="false">IF(B6="","",IFERROR(VLOOKUP(B6,_agg!$A$2:$F$60,2,FALSE()),""))</f>
        <v>2</v>
      </c>
      <c r="D6" s="35" t="n">
        <f aca="false">IF(B6="","",IFERROR(VLOOKUP(B6,_agg!$A$2:$F$60,3,FALSE()),""))</f>
        <v>255</v>
      </c>
      <c r="E6" s="35" t="n">
        <f aca="false">IF(B6="","",IFERROR(VLOOKUP(B6,_agg!$A$2:$F$60,4,FALSE()),""))</f>
        <v>190</v>
      </c>
      <c r="F6" s="35" t="n">
        <f aca="false">IF(B6="","",IFERROR(VLOOKUP(B6,_agg!$A$2:$F$60,5,FALSE()),""))</f>
        <v>65</v>
      </c>
      <c r="G6" s="36" t="n">
        <f aca="false">IF(B6="","",IFERROR(VLOOKUP(B6,_agg!$A$2:$F$60,6,FALSE()),""))</f>
        <v>0.254901960784314</v>
      </c>
    </row>
    <row r="7" customFormat="false" ht="15" hidden="false" customHeight="true" outlineLevel="0" collapsed="false">
      <c r="A7" s="33" t="n">
        <v>4</v>
      </c>
      <c r="B7" s="18" t="str">
        <f aca="false">IFERROR(IF(LARGE(_agg!$G$2:$G$60,4)&gt;=1,INDEX(_agg!$A$2:$A$60,MATCH(LARGE(_agg!$G$2:$G$60,4),_agg!$G$2:$G$60,0)),""),"")</f>
        <v>PUBG Mobile</v>
      </c>
      <c r="C7" s="34" t="n">
        <f aca="false">IF(B7="","",IFERROR(VLOOKUP(B7,_agg!$A$2:$F$60,2,FALSE()),""))</f>
        <v>1</v>
      </c>
      <c r="D7" s="35" t="n">
        <f aca="false">IF(B7="","",IFERROR(VLOOKUP(B7,_agg!$A$2:$F$60,3,FALSE()),""))</f>
        <v>260</v>
      </c>
      <c r="E7" s="35" t="n">
        <f aca="false">IF(B7="","",IFERROR(VLOOKUP(B7,_agg!$A$2:$F$60,4,FALSE()),""))</f>
        <v>210</v>
      </c>
      <c r="F7" s="35" t="n">
        <f aca="false">IF(B7="","",IFERROR(VLOOKUP(B7,_agg!$A$2:$F$60,5,FALSE()),""))</f>
        <v>50</v>
      </c>
      <c r="G7" s="36" t="n">
        <f aca="false">IF(B7="","",IFERROR(VLOOKUP(B7,_agg!$A$2:$F$60,6,FALSE()),""))</f>
        <v>0.192307692307692</v>
      </c>
    </row>
    <row r="8" customFormat="false" ht="15" hidden="false" customHeight="true" outlineLevel="0" collapsed="false">
      <c r="A8" s="33" t="n">
        <v>5</v>
      </c>
      <c r="B8" s="18" t="str">
        <f aca="false">IFERROR(IF(LARGE(_agg!$G$2:$G$60,5)&gt;=1,INDEX(_agg!$A$2:$A$60,MATCH(LARGE(_agg!$G$2:$G$60,5),_agg!$G$2:$G$60,0)),""),"")</f>
        <v>Mobile Legends</v>
      </c>
      <c r="C8" s="34" t="n">
        <f aca="false">IF(B8="","",IFERROR(VLOOKUP(B8,_agg!$A$2:$F$60,2,FALSE()),""))</f>
        <v>1</v>
      </c>
      <c r="D8" s="35" t="n">
        <f aca="false">IF(B8="","",IFERROR(VLOOKUP(B8,_agg!$A$2:$F$60,3,FALSE()),""))</f>
        <v>230</v>
      </c>
      <c r="E8" s="35" t="n">
        <f aca="false">IF(B8="","",IFERROR(VLOOKUP(B8,_agg!$A$2:$F$60,4,FALSE()),""))</f>
        <v>180</v>
      </c>
      <c r="F8" s="35" t="n">
        <f aca="false">IF(B8="","",IFERROR(VLOOKUP(B8,_agg!$A$2:$F$60,5,FALSE()),""))</f>
        <v>50</v>
      </c>
      <c r="G8" s="36" t="n">
        <f aca="false">IF(B8="","",IFERROR(VLOOKUP(B8,_agg!$A$2:$F$60,6,FALSE()),""))</f>
        <v>0.217391304347826</v>
      </c>
    </row>
    <row r="9" customFormat="false" ht="15" hidden="false" customHeight="true" outlineLevel="0" collapsed="false">
      <c r="A9" s="33" t="n">
        <v>6</v>
      </c>
      <c r="B9" s="18" t="str">
        <f aca="false">IFERROR(IF(LARGE(_agg!$G$2:$G$60,6)&gt;=1,INDEX(_agg!$A$2:$A$60,MATCH(LARGE(_agg!$G$2:$G$60,6),_agg!$G$2:$G$60,0)),""),"")</f>
        <v/>
      </c>
      <c r="C9" s="34" t="str">
        <f aca="false">IF(B9="","",IFERROR(VLOOKUP(B9,_agg!$A$2:$F$60,2,FALSE()),""))</f>
        <v/>
      </c>
      <c r="D9" s="35" t="str">
        <f aca="false">IF(B9="","",IFERROR(VLOOKUP(B9,_agg!$A$2:$F$60,3,FALSE()),""))</f>
        <v/>
      </c>
      <c r="E9" s="35" t="str">
        <f aca="false">IF(B9="","",IFERROR(VLOOKUP(B9,_agg!$A$2:$F$60,4,FALSE()),""))</f>
        <v/>
      </c>
      <c r="F9" s="35" t="str">
        <f aca="false">IF(B9="","",IFERROR(VLOOKUP(B9,_agg!$A$2:$F$60,5,FALSE()),""))</f>
        <v/>
      </c>
      <c r="G9" s="36" t="str">
        <f aca="false">IF(B9="","",IFERROR(VLOOKUP(B9,_agg!$A$2:$F$60,6,FALSE()),""))</f>
        <v/>
      </c>
    </row>
    <row r="10" customFormat="false" ht="15" hidden="false" customHeight="true" outlineLevel="0" collapsed="false">
      <c r="A10" s="33" t="n">
        <v>7</v>
      </c>
      <c r="B10" s="18" t="str">
        <f aca="false">IFERROR(IF(LARGE(_agg!$G$2:$G$60,7)&gt;=1,INDEX(_agg!$A$2:$A$60,MATCH(LARGE(_agg!$G$2:$G$60,7),_agg!$G$2:$G$60,0)),""),"")</f>
        <v/>
      </c>
      <c r="C10" s="34" t="str">
        <f aca="false">IF(B10="","",IFERROR(VLOOKUP(B10,_agg!$A$2:$F$60,2,FALSE()),""))</f>
        <v/>
      </c>
      <c r="D10" s="35" t="str">
        <f aca="false">IF(B10="","",IFERROR(VLOOKUP(B10,_agg!$A$2:$F$60,3,FALSE()),""))</f>
        <v/>
      </c>
      <c r="E10" s="35" t="str">
        <f aca="false">IF(B10="","",IFERROR(VLOOKUP(B10,_agg!$A$2:$F$60,4,FALSE()),""))</f>
        <v/>
      </c>
      <c r="F10" s="35" t="str">
        <f aca="false">IF(B10="","",IFERROR(VLOOKUP(B10,_agg!$A$2:$F$60,5,FALSE()),""))</f>
        <v/>
      </c>
      <c r="G10" s="36" t="str">
        <f aca="false">IF(B10="","",IFERROR(VLOOKUP(B10,_agg!$A$2:$F$60,6,FALSE()),""))</f>
        <v/>
      </c>
    </row>
    <row r="11" customFormat="false" ht="15" hidden="false" customHeight="true" outlineLevel="0" collapsed="false">
      <c r="A11" s="33" t="n">
        <v>8</v>
      </c>
      <c r="B11" s="18" t="str">
        <f aca="false">IFERROR(IF(LARGE(_agg!$G$2:$G$60,8)&gt;=1,INDEX(_agg!$A$2:$A$60,MATCH(LARGE(_agg!$G$2:$G$60,8),_agg!$G$2:$G$60,0)),""),"")</f>
        <v/>
      </c>
      <c r="C11" s="34" t="str">
        <f aca="false">IF(B11="","",IFERROR(VLOOKUP(B11,_agg!$A$2:$F$60,2,FALSE()),""))</f>
        <v/>
      </c>
      <c r="D11" s="35" t="str">
        <f aca="false">IF(B11="","",IFERROR(VLOOKUP(B11,_agg!$A$2:$F$60,3,FALSE()),""))</f>
        <v/>
      </c>
      <c r="E11" s="35" t="str">
        <f aca="false">IF(B11="","",IFERROR(VLOOKUP(B11,_agg!$A$2:$F$60,4,FALSE()),""))</f>
        <v/>
      </c>
      <c r="F11" s="35" t="str">
        <f aca="false">IF(B11="","",IFERROR(VLOOKUP(B11,_agg!$A$2:$F$60,5,FALSE()),""))</f>
        <v/>
      </c>
      <c r="G11" s="36" t="str">
        <f aca="false">IF(B11="","",IFERROR(VLOOKUP(B11,_agg!$A$2:$F$60,6,FALSE()),""))</f>
        <v/>
      </c>
    </row>
    <row r="12" customFormat="false" ht="15" hidden="false" customHeight="true" outlineLevel="0" collapsed="false">
      <c r="A12" s="33" t="n">
        <v>9</v>
      </c>
      <c r="B12" s="18" t="str">
        <f aca="false">IFERROR(IF(LARGE(_agg!$G$2:$G$60,9)&gt;=1,INDEX(_agg!$A$2:$A$60,MATCH(LARGE(_agg!$G$2:$G$60,9),_agg!$G$2:$G$60,0)),""),"")</f>
        <v/>
      </c>
      <c r="C12" s="34" t="str">
        <f aca="false">IF(B12="","",IFERROR(VLOOKUP(B12,_agg!$A$2:$F$60,2,FALSE()),""))</f>
        <v/>
      </c>
      <c r="D12" s="35" t="str">
        <f aca="false">IF(B12="","",IFERROR(VLOOKUP(B12,_agg!$A$2:$F$60,3,FALSE()),""))</f>
        <v/>
      </c>
      <c r="E12" s="35" t="str">
        <f aca="false">IF(B12="","",IFERROR(VLOOKUP(B12,_agg!$A$2:$F$60,4,FALSE()),""))</f>
        <v/>
      </c>
      <c r="F12" s="35" t="str">
        <f aca="false">IF(B12="","",IFERROR(VLOOKUP(B12,_agg!$A$2:$F$60,5,FALSE()),""))</f>
        <v/>
      </c>
      <c r="G12" s="36" t="str">
        <f aca="false">IF(B12="","",IFERROR(VLOOKUP(B12,_agg!$A$2:$F$60,6,FALSE()),""))</f>
        <v/>
      </c>
    </row>
    <row r="13" customFormat="false" ht="15" hidden="false" customHeight="true" outlineLevel="0" collapsed="false">
      <c r="A13" s="33" t="n">
        <v>10</v>
      </c>
      <c r="B13" s="18" t="str">
        <f aca="false">IFERROR(IF(LARGE(_agg!$G$2:$G$60,10)&gt;=1,INDEX(_agg!$A$2:$A$60,MATCH(LARGE(_agg!$G$2:$G$60,10),_agg!$G$2:$G$60,0)),""),"")</f>
        <v/>
      </c>
      <c r="C13" s="34" t="str">
        <f aca="false">IF(B13="","",IFERROR(VLOOKUP(B13,_agg!$A$2:$F$60,2,FALSE()),""))</f>
        <v/>
      </c>
      <c r="D13" s="35" t="str">
        <f aca="false">IF(B13="","",IFERROR(VLOOKUP(B13,_agg!$A$2:$F$60,3,FALSE()),""))</f>
        <v/>
      </c>
      <c r="E13" s="35" t="str">
        <f aca="false">IF(B13="","",IFERROR(VLOOKUP(B13,_agg!$A$2:$F$60,4,FALSE()),""))</f>
        <v/>
      </c>
      <c r="F13" s="35" t="str">
        <f aca="false">IF(B13="","",IFERROR(VLOOKUP(B13,_agg!$A$2:$F$60,5,FALSE()),""))</f>
        <v/>
      </c>
      <c r="G13" s="36" t="str">
        <f aca="false">IF(B13="","",IFERROR(VLOOKUP(B13,_agg!$A$2:$F$60,6,FALSE()),""))</f>
        <v/>
      </c>
    </row>
    <row r="14" customFormat="false" ht="15" hidden="false" customHeight="true" outlineLevel="0" collapsed="false">
      <c r="A14" s="33" t="n">
        <v>11</v>
      </c>
      <c r="B14" s="18" t="str">
        <f aca="false">IFERROR(IF(LARGE(_agg!$G$2:$G$60,11)&gt;=1,INDEX(_agg!$A$2:$A$60,MATCH(LARGE(_agg!$G$2:$G$60,11),_agg!$G$2:$G$60,0)),""),"")</f>
        <v/>
      </c>
      <c r="C14" s="34" t="str">
        <f aca="false">IF(B14="","",IFERROR(VLOOKUP(B14,_agg!$A$2:$F$60,2,FALSE()),""))</f>
        <v/>
      </c>
      <c r="D14" s="35" t="str">
        <f aca="false">IF(B14="","",IFERROR(VLOOKUP(B14,_agg!$A$2:$F$60,3,FALSE()),""))</f>
        <v/>
      </c>
      <c r="E14" s="35" t="str">
        <f aca="false">IF(B14="","",IFERROR(VLOOKUP(B14,_agg!$A$2:$F$60,4,FALSE()),""))</f>
        <v/>
      </c>
      <c r="F14" s="35" t="str">
        <f aca="false">IF(B14="","",IFERROR(VLOOKUP(B14,_agg!$A$2:$F$60,5,FALSE()),""))</f>
        <v/>
      </c>
      <c r="G14" s="36" t="str">
        <f aca="false">IF(B14="","",IFERROR(VLOOKUP(B14,_agg!$A$2:$F$60,6,FALSE()),""))</f>
        <v/>
      </c>
    </row>
    <row r="15" customFormat="false" ht="15" hidden="false" customHeight="true" outlineLevel="0" collapsed="false">
      <c r="A15" s="33" t="n">
        <v>12</v>
      </c>
      <c r="B15" s="18" t="str">
        <f aca="false">IFERROR(IF(LARGE(_agg!$G$2:$G$60,12)&gt;=1,INDEX(_agg!$A$2:$A$60,MATCH(LARGE(_agg!$G$2:$G$60,12),_agg!$G$2:$G$60,0)),""),"")</f>
        <v/>
      </c>
      <c r="C15" s="34" t="str">
        <f aca="false">IF(B15="","",IFERROR(VLOOKUP(B15,_agg!$A$2:$F$60,2,FALSE()),""))</f>
        <v/>
      </c>
      <c r="D15" s="35" t="str">
        <f aca="false">IF(B15="","",IFERROR(VLOOKUP(B15,_agg!$A$2:$F$60,3,FALSE()),""))</f>
        <v/>
      </c>
      <c r="E15" s="35" t="str">
        <f aca="false">IF(B15="","",IFERROR(VLOOKUP(B15,_agg!$A$2:$F$60,4,FALSE()),""))</f>
        <v/>
      </c>
      <c r="F15" s="35" t="str">
        <f aca="false">IF(B15="","",IFERROR(VLOOKUP(B15,_agg!$A$2:$F$60,5,FALSE()),""))</f>
        <v/>
      </c>
      <c r="G15" s="36" t="str">
        <f aca="false">IF(B15="","",IFERROR(VLOOKUP(B15,_agg!$A$2:$F$60,6,FALSE()),""))</f>
        <v/>
      </c>
    </row>
    <row r="16" customFormat="false" ht="15" hidden="false" customHeight="true" outlineLevel="0" collapsed="false">
      <c r="A16" s="33" t="n">
        <v>13</v>
      </c>
      <c r="B16" s="18" t="str">
        <f aca="false">IFERROR(IF(LARGE(_agg!$G$2:$G$60,13)&gt;=1,INDEX(_agg!$A$2:$A$60,MATCH(LARGE(_agg!$G$2:$G$60,13),_agg!$G$2:$G$60,0)),""),"")</f>
        <v/>
      </c>
      <c r="C16" s="34" t="str">
        <f aca="false">IF(B16="","",IFERROR(VLOOKUP(B16,_agg!$A$2:$F$60,2,FALSE()),""))</f>
        <v/>
      </c>
      <c r="D16" s="35" t="str">
        <f aca="false">IF(B16="","",IFERROR(VLOOKUP(B16,_agg!$A$2:$F$60,3,FALSE()),""))</f>
        <v/>
      </c>
      <c r="E16" s="35" t="str">
        <f aca="false">IF(B16="","",IFERROR(VLOOKUP(B16,_agg!$A$2:$F$60,4,FALSE()),""))</f>
        <v/>
      </c>
      <c r="F16" s="35" t="str">
        <f aca="false">IF(B16="","",IFERROR(VLOOKUP(B16,_agg!$A$2:$F$60,5,FALSE()),""))</f>
        <v/>
      </c>
      <c r="G16" s="36" t="str">
        <f aca="false">IF(B16="","",IFERROR(VLOOKUP(B16,_agg!$A$2:$F$60,6,FALSE()),""))</f>
        <v/>
      </c>
    </row>
    <row r="17" customFormat="false" ht="15" hidden="false" customHeight="true" outlineLevel="0" collapsed="false">
      <c r="A17" s="33" t="n">
        <v>14</v>
      </c>
      <c r="B17" s="18" t="str">
        <f aca="false">IFERROR(IF(LARGE(_agg!$G$2:$G$60,14)&gt;=1,INDEX(_agg!$A$2:$A$60,MATCH(LARGE(_agg!$G$2:$G$60,14),_agg!$G$2:$G$60,0)),""),"")</f>
        <v/>
      </c>
      <c r="C17" s="34" t="str">
        <f aca="false">IF(B17="","",IFERROR(VLOOKUP(B17,_agg!$A$2:$F$60,2,FALSE()),""))</f>
        <v/>
      </c>
      <c r="D17" s="35" t="str">
        <f aca="false">IF(B17="","",IFERROR(VLOOKUP(B17,_agg!$A$2:$F$60,3,FALSE()),""))</f>
        <v/>
      </c>
      <c r="E17" s="35" t="str">
        <f aca="false">IF(B17="","",IFERROR(VLOOKUP(B17,_agg!$A$2:$F$60,4,FALSE()),""))</f>
        <v/>
      </c>
      <c r="F17" s="35" t="str">
        <f aca="false">IF(B17="","",IFERROR(VLOOKUP(B17,_agg!$A$2:$F$60,5,FALSE()),""))</f>
        <v/>
      </c>
      <c r="G17" s="36" t="str">
        <f aca="false">IF(B17="","",IFERROR(VLOOKUP(B17,_agg!$A$2:$F$60,6,FALSE()),""))</f>
        <v/>
      </c>
    </row>
    <row r="18" customFormat="false" ht="15" hidden="false" customHeight="true" outlineLevel="0" collapsed="false">
      <c r="A18" s="33" t="n">
        <v>15</v>
      </c>
      <c r="B18" s="18" t="str">
        <f aca="false">IFERROR(IF(LARGE(_agg!$G$2:$G$60,15)&gt;=1,INDEX(_agg!$A$2:$A$60,MATCH(LARGE(_agg!$G$2:$G$60,15),_agg!$G$2:$G$60,0)),""),"")</f>
        <v/>
      </c>
      <c r="C18" s="34" t="str">
        <f aca="false">IF(B18="","",IFERROR(VLOOKUP(B18,_agg!$A$2:$F$60,2,FALSE()),""))</f>
        <v/>
      </c>
      <c r="D18" s="35" t="str">
        <f aca="false">IF(B18="","",IFERROR(VLOOKUP(B18,_agg!$A$2:$F$60,3,FALSE()),""))</f>
        <v/>
      </c>
      <c r="E18" s="35" t="str">
        <f aca="false">IF(B18="","",IFERROR(VLOOKUP(B18,_agg!$A$2:$F$60,4,FALSE()),""))</f>
        <v/>
      </c>
      <c r="F18" s="35" t="str">
        <f aca="false">IF(B18="","",IFERROR(VLOOKUP(B18,_agg!$A$2:$F$60,5,FALSE()),""))</f>
        <v/>
      </c>
      <c r="G18" s="36" t="str">
        <f aca="false">IF(B18="","",IFERROR(VLOOKUP(B18,_agg!$A$2:$F$60,6,FALSE()),""))</f>
        <v/>
      </c>
    </row>
    <row r="19" customFormat="false" ht="15" hidden="false" customHeight="true" outlineLevel="0" collapsed="false">
      <c r="A19" s="33" t="n">
        <v>16</v>
      </c>
      <c r="B19" s="18" t="str">
        <f aca="false">IFERROR(IF(LARGE(_agg!$G$2:$G$60,16)&gt;=1,INDEX(_agg!$A$2:$A$60,MATCH(LARGE(_agg!$G$2:$G$60,16),_agg!$G$2:$G$60,0)),""),"")</f>
        <v/>
      </c>
      <c r="C19" s="34" t="str">
        <f aca="false">IF(B19="","",IFERROR(VLOOKUP(B19,_agg!$A$2:$F$60,2,FALSE()),""))</f>
        <v/>
      </c>
      <c r="D19" s="35" t="str">
        <f aca="false">IF(B19="","",IFERROR(VLOOKUP(B19,_agg!$A$2:$F$60,3,FALSE()),""))</f>
        <v/>
      </c>
      <c r="E19" s="35" t="str">
        <f aca="false">IF(B19="","",IFERROR(VLOOKUP(B19,_agg!$A$2:$F$60,4,FALSE()),""))</f>
        <v/>
      </c>
      <c r="F19" s="35" t="str">
        <f aca="false">IF(B19="","",IFERROR(VLOOKUP(B19,_agg!$A$2:$F$60,5,FALSE()),""))</f>
        <v/>
      </c>
      <c r="G19" s="36" t="str">
        <f aca="false">IF(B19="","",IFERROR(VLOOKUP(B19,_agg!$A$2:$F$60,6,FALSE()),""))</f>
        <v/>
      </c>
    </row>
    <row r="20" customFormat="false" ht="15" hidden="false" customHeight="true" outlineLevel="0" collapsed="false">
      <c r="A20" s="33" t="n">
        <v>17</v>
      </c>
      <c r="B20" s="18" t="str">
        <f aca="false">IFERROR(IF(LARGE(_agg!$G$2:$G$60,17)&gt;=1,INDEX(_agg!$A$2:$A$60,MATCH(LARGE(_agg!$G$2:$G$60,17),_agg!$G$2:$G$60,0)),""),"")</f>
        <v/>
      </c>
      <c r="C20" s="34" t="str">
        <f aca="false">IF(B20="","",IFERROR(VLOOKUP(B20,_agg!$A$2:$F$60,2,FALSE()),""))</f>
        <v/>
      </c>
      <c r="D20" s="35" t="str">
        <f aca="false">IF(B20="","",IFERROR(VLOOKUP(B20,_agg!$A$2:$F$60,3,FALSE()),""))</f>
        <v/>
      </c>
      <c r="E20" s="35" t="str">
        <f aca="false">IF(B20="","",IFERROR(VLOOKUP(B20,_agg!$A$2:$F$60,4,FALSE()),""))</f>
        <v/>
      </c>
      <c r="F20" s="35" t="str">
        <f aca="false">IF(B20="","",IFERROR(VLOOKUP(B20,_agg!$A$2:$F$60,5,FALSE()),""))</f>
        <v/>
      </c>
      <c r="G20" s="36" t="str">
        <f aca="false">IF(B20="","",IFERROR(VLOOKUP(B20,_agg!$A$2:$F$60,6,FALSE()),""))</f>
        <v/>
      </c>
    </row>
    <row r="21" customFormat="false" ht="15" hidden="false" customHeight="true" outlineLevel="0" collapsed="false">
      <c r="A21" s="33" t="n">
        <v>18</v>
      </c>
      <c r="B21" s="18" t="str">
        <f aca="false">IFERROR(IF(LARGE(_agg!$G$2:$G$60,18)&gt;=1,INDEX(_agg!$A$2:$A$60,MATCH(LARGE(_agg!$G$2:$G$60,18),_agg!$G$2:$G$60,0)),""),"")</f>
        <v/>
      </c>
      <c r="C21" s="34" t="str">
        <f aca="false">IF(B21="","",IFERROR(VLOOKUP(B21,_agg!$A$2:$F$60,2,FALSE()),""))</f>
        <v/>
      </c>
      <c r="D21" s="35" t="str">
        <f aca="false">IF(B21="","",IFERROR(VLOOKUP(B21,_agg!$A$2:$F$60,3,FALSE()),""))</f>
        <v/>
      </c>
      <c r="E21" s="35" t="str">
        <f aca="false">IF(B21="","",IFERROR(VLOOKUP(B21,_agg!$A$2:$F$60,4,FALSE()),""))</f>
        <v/>
      </c>
      <c r="F21" s="35" t="str">
        <f aca="false">IF(B21="","",IFERROR(VLOOKUP(B21,_agg!$A$2:$F$60,5,FALSE()),""))</f>
        <v/>
      </c>
      <c r="G21" s="36" t="str">
        <f aca="false">IF(B21="","",IFERROR(VLOOKUP(B21,_agg!$A$2:$F$60,6,FALSE()),""))</f>
        <v/>
      </c>
    </row>
    <row r="22" customFormat="false" ht="15" hidden="false" customHeight="true" outlineLevel="0" collapsed="false">
      <c r="A22" s="33" t="n">
        <v>19</v>
      </c>
      <c r="B22" s="18" t="str">
        <f aca="false">IFERROR(IF(LARGE(_agg!$G$2:$G$60,19)&gt;=1,INDEX(_agg!$A$2:$A$60,MATCH(LARGE(_agg!$G$2:$G$60,19),_agg!$G$2:$G$60,0)),""),"")</f>
        <v/>
      </c>
      <c r="C22" s="34" t="str">
        <f aca="false">IF(B22="","",IFERROR(VLOOKUP(B22,_agg!$A$2:$F$60,2,FALSE()),""))</f>
        <v/>
      </c>
      <c r="D22" s="35" t="str">
        <f aca="false">IF(B22="","",IFERROR(VLOOKUP(B22,_agg!$A$2:$F$60,3,FALSE()),""))</f>
        <v/>
      </c>
      <c r="E22" s="35" t="str">
        <f aca="false">IF(B22="","",IFERROR(VLOOKUP(B22,_agg!$A$2:$F$60,4,FALSE()),""))</f>
        <v/>
      </c>
      <c r="F22" s="35" t="str">
        <f aca="false">IF(B22="","",IFERROR(VLOOKUP(B22,_agg!$A$2:$F$60,5,FALSE()),""))</f>
        <v/>
      </c>
      <c r="G22" s="36" t="str">
        <f aca="false">IF(B22="","",IFERROR(VLOOKUP(B22,_agg!$A$2:$F$60,6,FALSE()),""))</f>
        <v/>
      </c>
    </row>
    <row r="23" customFormat="false" ht="15" hidden="false" customHeight="true" outlineLevel="0" collapsed="false">
      <c r="A23" s="33" t="n">
        <v>20</v>
      </c>
      <c r="B23" s="18" t="str">
        <f aca="false">IFERROR(IF(LARGE(_agg!$G$2:$G$60,20)&gt;=1,INDEX(_agg!$A$2:$A$60,MATCH(LARGE(_agg!$G$2:$G$60,20),_agg!$G$2:$G$60,0)),""),"")</f>
        <v/>
      </c>
      <c r="C23" s="34" t="str">
        <f aca="false">IF(B23="","",IFERROR(VLOOKUP(B23,_agg!$A$2:$F$60,2,FALSE()),""))</f>
        <v/>
      </c>
      <c r="D23" s="35" t="str">
        <f aca="false">IF(B23="","",IFERROR(VLOOKUP(B23,_agg!$A$2:$F$60,3,FALSE()),""))</f>
        <v/>
      </c>
      <c r="E23" s="35" t="str">
        <f aca="false">IF(B23="","",IFERROR(VLOOKUP(B23,_agg!$A$2:$F$60,4,FALSE()),""))</f>
        <v/>
      </c>
      <c r="F23" s="35" t="str">
        <f aca="false">IF(B23="","",IFERROR(VLOOKUP(B23,_agg!$A$2:$F$60,5,FALSE()),""))</f>
        <v/>
      </c>
      <c r="G23" s="36" t="str">
        <f aca="false">IF(B23="","",IFERROR(VLOOKUP(B23,_agg!$A$2:$F$60,6,FALSE()),""))</f>
        <v/>
      </c>
    </row>
    <row r="26" customFormat="false" ht="17.25" hidden="false" customHeight="true" outlineLevel="0" collapsed="false">
      <c r="A26" s="37" t="s">
        <v>121</v>
      </c>
      <c r="B26" s="37"/>
      <c r="C26" s="37"/>
      <c r="D26" s="37"/>
      <c r="E26" s="37"/>
      <c r="F26" s="37"/>
      <c r="G26" s="37"/>
    </row>
    <row r="27" customFormat="false" ht="15" hidden="false" customHeight="true" outlineLevel="0" collapsed="false">
      <c r="A27" s="38" t="s">
        <v>122</v>
      </c>
      <c r="B27" s="39" t="n">
        <f aca="false">ภาพรวม!D4</f>
        <v>2555</v>
      </c>
      <c r="C27" s="38" t="s">
        <v>123</v>
      </c>
      <c r="D27" s="39" t="n">
        <f aca="false">ภาพรวม!B4</f>
        <v>2075</v>
      </c>
      <c r="E27" s="38" t="s">
        <v>124</v>
      </c>
      <c r="F27" s="39" t="n">
        <f aca="false">ภาพรวม!F4</f>
        <v>480</v>
      </c>
      <c r="G27" s="40" t="n">
        <f aca="false">IFERROR(F27/B27,0)</f>
        <v>0.187866927592955</v>
      </c>
    </row>
    <row r="29" customFormat="false" ht="15" hidden="false" customHeight="true" outlineLevel="0" collapsed="false">
      <c r="A29" s="41" t="str">
        <f aca="false">"• ร้านมีรายการขายทั้งหมด "&amp;TEXT(ภาพรวม!H4,"#,##0")&amp;" รายการ ยอดขายรวม ฿"&amp;TEXT(ภาพรวม!D4,"#,##0")&amp;" ทำกำไรได้ ฿"&amp;TEXT(ภาพรวม!F4,"#,##0")&amp;" (Margin "&amp;TEXT(ภาพรวม!D6,"0.0%")&amp;")"</f>
        <v>• ร้านมีรายการขายทั้งหมด 10 รายการ ยอดขายรวม ฿2,555 ทำกำไรได้ ฿480 (Margin 18.8%)</v>
      </c>
      <c r="B29" s="41"/>
      <c r="C29" s="41"/>
      <c r="D29" s="41"/>
      <c r="E29" s="41"/>
      <c r="F29" s="41"/>
      <c r="G29" s="41"/>
    </row>
    <row r="30" customFormat="false" ht="15" hidden="false" customHeight="true" outlineLevel="0" collapsed="false">
      <c r="A30" s="41" t="str">
        <f aca="false">"• เกมที่ขายบ่อยที่สุดคือ "&amp;CHAR(34)&amp;B4&amp;CHAR(34)&amp;" จำนวน "&amp;TEXT(C4,"#,##0")&amp;" รายการ ทำกำไร ฿"&amp;TEXT(F4,"#,##0")</f>
        <v>• เกมที่ขายบ่อยที่สุดคือ "Genshin Impact" จำนวน 3 รายการ ทำกำไร ฿240</v>
      </c>
      <c r="B30" s="41"/>
      <c r="C30" s="41"/>
      <c r="D30" s="41"/>
      <c r="E30" s="41"/>
      <c r="F30" s="41"/>
      <c r="G30" s="41"/>
    </row>
    <row r="31" customFormat="false" ht="15" hidden="false" customHeight="true" outlineLevel="0" collapsed="false">
      <c r="A31" s="41" t="str">
        <f aca="false">"• เกมที่ทำกำไรสูงสุดคือ "&amp;CHAR(34)&amp;IFERROR(INDEX(_agg!A2:A60,MATCH(MAX(_agg!E2:E60),_agg!E2:E60,0)),"-")&amp;CHAR(34)&amp;" รวม ฿"&amp;TEXT(IFERROR(MAX(_agg!E2:E60),0),"#,##0")</f>
        <v>• เกมที่ทำกำไรสูงสุดคือ "Genshin Impact" รวม ฿240</v>
      </c>
      <c r="B31" s="41"/>
      <c r="C31" s="41"/>
      <c r="D31" s="41"/>
      <c r="E31" s="41"/>
      <c r="F31" s="41"/>
      <c r="G31" s="41"/>
    </row>
    <row r="32" customFormat="false" ht="15" hidden="false" customHeight="true" outlineLevel="0" collapsed="false">
      <c r="A32" s="41" t="str">
        <f aca="false">"• สต๊อกที่ใช้เติมเยอะที่สุด (ตามจำนวนครั้ง): "&amp;IFERROR(INDEX(_agg!H2:H6,MATCH(MAX(_agg!I2:I6),_agg!I2:I6,0))&amp;" ("&amp;MAX(_agg!I2:I6)&amp;" ครั้ง)","-")</f>
        <v>• สต๊อกที่ใช้เติมเยอะที่สุด (ตามจำนวนครั้ง): iTunes (3 ครั้ง)</v>
      </c>
      <c r="B32" s="41"/>
      <c r="C32" s="41"/>
      <c r="D32" s="41"/>
      <c r="E32" s="41"/>
      <c r="F32" s="41"/>
      <c r="G32" s="41"/>
    </row>
    <row r="33" customFormat="false" ht="15" hidden="false" customHeight="true" outlineLevel="0" collapsed="false">
      <c r="A33" s="41" t="str">
        <f aca="false">"• ช่องทางการโอนยอดนิยม: "&amp;IFERROR(INDEX(_agg!K2:K10,MATCH(MAX(_agg!L2:L10),_agg!L2:L10,0))&amp;" ("&amp;MAX(_agg!L2:L10)&amp;" ครั้ง)","-")</f>
        <v>• ช่องทางการโอนยอดนิยม: TrueWallet (3 ครั้ง)</v>
      </c>
      <c r="B33" s="41"/>
      <c r="C33" s="41"/>
      <c r="D33" s="41"/>
      <c r="E33" s="41"/>
      <c r="F33" s="41"/>
      <c r="G33" s="41"/>
    </row>
    <row r="34" customFormat="false" ht="15" hidden="false" customHeight="true" outlineLevel="0" collapsed="false">
      <c r="A34" s="41" t="str">
        <f aca="false">"• ราคาขายเฉลี่ย/รายการ: ฿"&amp;TEXT(IFERROR(ภาพรวม!D4/ภาพรวม!H4,0),"#,##0.00")&amp;" — กำไรเฉลี่ย/รายการ: ฿"&amp;TEXT(IFERROR(ภาพรวม!F4/ภาพรวม!H4,0),"#,##0.00")</f>
        <v>• ราคาขายเฉลี่ย/รายการ: ฿255.50 — กำไรเฉลี่ย/รายการ: ฿48.00</v>
      </c>
      <c r="B34" s="41"/>
      <c r="C34" s="41"/>
      <c r="D34" s="41"/>
      <c r="E34" s="41"/>
      <c r="F34" s="41"/>
      <c r="G34" s="41"/>
    </row>
    <row r="36" customFormat="false" ht="15" hidden="false" customHeight="true" outlineLevel="0" collapsed="false">
      <c r="A36" s="41" t="str">
        <f aca="false">"💡 ข้อเสนอแนะ:"</f>
        <v>💡 ข้อเสนอแนะ:</v>
      </c>
      <c r="B36" s="41"/>
      <c r="C36" s="41"/>
      <c r="D36" s="41"/>
      <c r="E36" s="41"/>
      <c r="F36" s="41"/>
      <c r="G36" s="41"/>
    </row>
    <row r="37" customFormat="false" ht="15" hidden="false" customHeight="true" outlineLevel="0" collapsed="false">
      <c r="A37" s="41" t="str">
        <f aca="false">"• เน้นโปรโมตและจัดสต๊อก "&amp;CHAR(34)&amp;B4&amp;CHAR(34)&amp;" ให้พอใช้ในช่วง 7 วันข้างหน้า"</f>
        <v>• เน้นโปรโมตและจัดสต๊อก "Genshin Impact" ให้พอใช้ในช่วง 7 วันข้างหน้า</v>
      </c>
      <c r="B37" s="41"/>
      <c r="C37" s="41"/>
      <c r="D37" s="41"/>
      <c r="E37" s="41"/>
      <c r="F37" s="41"/>
      <c r="G37" s="41"/>
    </row>
    <row r="38" customFormat="false" ht="15" hidden="false" customHeight="true" outlineLevel="0" collapsed="false">
      <c r="A38" s="41" t="str">
        <f aca="false">IF(ภาพรวม!D6&lt;0.1,"• Margin ต่ำกว่า 10% — ควรเจรจาต้นทุน Supply ให้ถูกลง หรือปรับราคาขายขึ้น 5-10%","• Margin อยู่ในเกณฑ์ดี ควรรักษาสมดุลต้นทุนต่อไป")</f>
        <v>• Margin อยู่ในเกณฑ์ดี ควรรักษาสมดุลต้นทุนต่อไป</v>
      </c>
      <c r="B38" s="41"/>
      <c r="C38" s="41"/>
      <c r="D38" s="41"/>
      <c r="E38" s="41"/>
      <c r="F38" s="41"/>
      <c r="G38" s="41"/>
    </row>
    <row r="39" customFormat="false" ht="26.25" hidden="false" customHeight="true" outlineLevel="0" collapsed="false">
      <c r="A39" s="41" t="str">
        <f aca="false">"• ทบทวนสต๊อก iTunes/Razer/USDT ที่ราคาเฉลี่ยสูง และเปรียบเทียบราคาจาก Supplier ทั้ง 4 ราย เพื่อหาแหล่งที่ถูกสุด"</f>
        <v>• ทบทวนสต๊อก iTunes/Razer/USDT ที่ราคาเฉลี่ยสูง และเปรียบเทียบราคาจาก Supplier ทั้ง 4 ราย เพื่อหาแหล่งที่ถูกสุด</v>
      </c>
      <c r="B39" s="41"/>
      <c r="C39" s="41"/>
      <c r="D39" s="41"/>
      <c r="E39" s="41"/>
      <c r="F39" s="41"/>
      <c r="G39" s="41"/>
    </row>
  </sheetData>
  <mergeCells count="12">
    <mergeCell ref="A1:G1"/>
    <mergeCell ref="A26:G26"/>
    <mergeCell ref="A29:G29"/>
    <mergeCell ref="A30:G30"/>
    <mergeCell ref="A31:G31"/>
    <mergeCell ref="A32:G32"/>
    <mergeCell ref="A33:G33"/>
    <mergeCell ref="A34:G34"/>
    <mergeCell ref="A36:G36"/>
    <mergeCell ref="A37:G37"/>
    <mergeCell ref="A38:G38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4"/>
    <col collapsed="false" customWidth="true" hidden="false" outlineLevel="0" max="6" min="4" style="1" width="16"/>
    <col collapsed="false" customWidth="true" hidden="false" outlineLevel="0" max="7" min="7" style="1" width="12"/>
    <col collapsed="false" customWidth="true" hidden="false" outlineLevel="0" max="8" min="8" style="1" width="20"/>
  </cols>
  <sheetData>
    <row r="1" customFormat="false" ht="25.5" hidden="false" customHeight="true" outlineLevel="0" collapsed="false">
      <c r="A1" s="6" t="s">
        <v>125</v>
      </c>
      <c r="B1" s="6"/>
      <c r="C1" s="6"/>
      <c r="D1" s="6"/>
      <c r="E1" s="6"/>
      <c r="F1" s="6"/>
      <c r="G1" s="6"/>
      <c r="H1" s="6"/>
    </row>
    <row r="3" customFormat="false" ht="30" hidden="false" customHeight="true" outlineLevel="0" collapsed="false">
      <c r="A3" s="16" t="s">
        <v>28</v>
      </c>
      <c r="B3" s="16" t="s">
        <v>126</v>
      </c>
      <c r="C3" s="16" t="s">
        <v>23</v>
      </c>
      <c r="D3" s="16" t="s">
        <v>127</v>
      </c>
      <c r="E3" s="16" t="s">
        <v>128</v>
      </c>
      <c r="F3" s="16" t="s">
        <v>129</v>
      </c>
      <c r="G3" s="16" t="s">
        <v>33</v>
      </c>
      <c r="H3" s="16" t="s">
        <v>130</v>
      </c>
    </row>
    <row r="4" customFormat="false" ht="15" hidden="false" customHeight="true" outlineLevel="0" collapsed="false">
      <c r="A4" s="18" t="str">
        <f aca="false">IF(IFERROR(_agg!B2,0)&gt;=1,IFERROR(_agg!A2,""),"")</f>
        <v>Free Fire</v>
      </c>
      <c r="B4" s="28"/>
      <c r="C4" s="34" t="n">
        <f aca="false">IF(A4="","",_agg!B2)</f>
        <v>3</v>
      </c>
      <c r="D4" s="35" t="n">
        <f aca="false">IF(A4="","",_agg!D2/_agg!B2)</f>
        <v>71.6666666666667</v>
      </c>
      <c r="E4" s="35" t="n">
        <f aca="false">IF(A4="","",_agg!C2/_agg!B2)</f>
        <v>96.6666666666667</v>
      </c>
      <c r="F4" s="35" t="n">
        <f aca="false">IF(A4="","",E4-D4)</f>
        <v>25</v>
      </c>
      <c r="G4" s="36" t="n">
        <f aca="false">IF(A4="","",F4/E4)</f>
        <v>0.258620689655172</v>
      </c>
      <c r="H4" s="35" t="n">
        <f aca="false">IF(A4="","",D4/(1-0.25))</f>
        <v>95.5555555555556</v>
      </c>
    </row>
    <row r="5" customFormat="false" ht="15" hidden="false" customHeight="true" outlineLevel="0" collapsed="false">
      <c r="A5" s="18" t="str">
        <f aca="false">IF(IFERROR(_agg!B3,0)&gt;=1,IFERROR(_agg!A3,""),"")</f>
        <v>ROV</v>
      </c>
      <c r="B5" s="28"/>
      <c r="C5" s="34" t="n">
        <f aca="false">IF(A5="","",_agg!B3)</f>
        <v>2</v>
      </c>
      <c r="D5" s="35" t="n">
        <f aca="false">IF(A5="","",_agg!D3/_agg!B3)</f>
        <v>95</v>
      </c>
      <c r="E5" s="35" t="n">
        <f aca="false">IF(A5="","",_agg!C3/_agg!B3)</f>
        <v>127.5</v>
      </c>
      <c r="F5" s="35" t="n">
        <f aca="false">IF(A5="","",E5-D5)</f>
        <v>32.5</v>
      </c>
      <c r="G5" s="36" t="n">
        <f aca="false">IF(A5="","",F5/E5)</f>
        <v>0.254901960784314</v>
      </c>
      <c r="H5" s="35" t="n">
        <f aca="false">IF(A5="","",D5/(1-0.25))</f>
        <v>126.666666666667</v>
      </c>
    </row>
    <row r="6" customFormat="false" ht="15" hidden="false" customHeight="true" outlineLevel="0" collapsed="false">
      <c r="A6" s="18" t="str">
        <f aca="false">IF(IFERROR(_agg!B4,0)&gt;=1,IFERROR(_agg!A4,""),"")</f>
        <v>Genshin Impact</v>
      </c>
      <c r="B6" s="28"/>
      <c r="C6" s="34" t="n">
        <f aca="false">IF(A6="","",_agg!B4)</f>
        <v>3</v>
      </c>
      <c r="D6" s="35" t="n">
        <f aca="false">IF(A6="","",_agg!D4/_agg!B4)</f>
        <v>426.666666666667</v>
      </c>
      <c r="E6" s="35" t="n">
        <f aca="false">IF(A6="","",_agg!C4/_agg!B4)</f>
        <v>506.666666666667</v>
      </c>
      <c r="F6" s="35" t="n">
        <f aca="false">IF(A6="","",E6-D6)</f>
        <v>80</v>
      </c>
      <c r="G6" s="36" t="n">
        <f aca="false">IF(A6="","",F6/E6)</f>
        <v>0.157894736842105</v>
      </c>
      <c r="H6" s="35" t="n">
        <f aca="false">IF(A6="","",D6/(1-0.25))</f>
        <v>568.888888888889</v>
      </c>
    </row>
    <row r="7" customFormat="false" ht="15" hidden="false" customHeight="true" outlineLevel="0" collapsed="false">
      <c r="A7" s="18" t="str">
        <f aca="false">IF(IFERROR(_agg!B5,0)&gt;=1,IFERROR(_agg!A5,""),"")</f>
        <v>Mobile Legends</v>
      </c>
      <c r="B7" s="28"/>
      <c r="C7" s="34" t="n">
        <f aca="false">IF(A7="","",_agg!B5)</f>
        <v>1</v>
      </c>
      <c r="D7" s="35" t="n">
        <f aca="false">IF(A7="","",_agg!D5/_agg!B5)</f>
        <v>180</v>
      </c>
      <c r="E7" s="35" t="n">
        <f aca="false">IF(A7="","",_agg!C5/_agg!B5)</f>
        <v>230</v>
      </c>
      <c r="F7" s="35" t="n">
        <f aca="false">IF(A7="","",E7-D7)</f>
        <v>50</v>
      </c>
      <c r="G7" s="36" t="n">
        <f aca="false">IF(A7="","",F7/E7)</f>
        <v>0.217391304347826</v>
      </c>
      <c r="H7" s="35" t="n">
        <f aca="false">IF(A7="","",D7/(1-0.25))</f>
        <v>240</v>
      </c>
    </row>
    <row r="8" customFormat="false" ht="15" hidden="false" customHeight="true" outlineLevel="0" collapsed="false">
      <c r="A8" s="18" t="str">
        <f aca="false">IF(IFERROR(_agg!B6,0)&gt;=1,IFERROR(_agg!A6,""),"")</f>
        <v>PUBG Mobile</v>
      </c>
      <c r="B8" s="28"/>
      <c r="C8" s="34" t="n">
        <f aca="false">IF(A8="","",_agg!B6)</f>
        <v>1</v>
      </c>
      <c r="D8" s="35" t="n">
        <f aca="false">IF(A8="","",_agg!D6/_agg!B6)</f>
        <v>210</v>
      </c>
      <c r="E8" s="35" t="n">
        <f aca="false">IF(A8="","",_agg!C6/_agg!B6)</f>
        <v>260</v>
      </c>
      <c r="F8" s="35" t="n">
        <f aca="false">IF(A8="","",E8-D8)</f>
        <v>50</v>
      </c>
      <c r="G8" s="36" t="n">
        <f aca="false">IF(A8="","",F8/E8)</f>
        <v>0.192307692307692</v>
      </c>
      <c r="H8" s="35" t="n">
        <f aca="false">IF(A8="","",D8/(1-0.25))</f>
        <v>280</v>
      </c>
    </row>
    <row r="9" customFormat="false" ht="15" hidden="false" customHeight="true" outlineLevel="0" collapsed="false">
      <c r="A9" s="18" t="str">
        <f aca="false">IF(IFERROR(_agg!B7,0)&gt;=1,IFERROR(_agg!A7,""),"")</f>
        <v/>
      </c>
      <c r="B9" s="28"/>
      <c r="C9" s="34" t="str">
        <f aca="false">IF(A9="","",_agg!B7)</f>
        <v/>
      </c>
      <c r="D9" s="35" t="str">
        <f aca="false">IF(A9="","",_agg!D7/_agg!B7)</f>
        <v/>
      </c>
      <c r="E9" s="35" t="str">
        <f aca="false">IF(A9="","",_agg!C7/_agg!B7)</f>
        <v/>
      </c>
      <c r="F9" s="35" t="str">
        <f aca="false">IF(A9="","",E9-D9)</f>
        <v/>
      </c>
      <c r="G9" s="36" t="str">
        <f aca="false">IF(A9="","",F9/E9)</f>
        <v/>
      </c>
      <c r="H9" s="35" t="str">
        <f aca="false">IF(A9="","",D9/(1-0.25))</f>
        <v/>
      </c>
    </row>
    <row r="10" customFormat="false" ht="15" hidden="false" customHeight="true" outlineLevel="0" collapsed="false">
      <c r="A10" s="18" t="str">
        <f aca="false">IF(IFERROR(_agg!B8,0)&gt;=1,IFERROR(_agg!A8,""),"")</f>
        <v/>
      </c>
      <c r="B10" s="28"/>
      <c r="C10" s="34" t="str">
        <f aca="false">IF(A10="","",_agg!B8)</f>
        <v/>
      </c>
      <c r="D10" s="35" t="str">
        <f aca="false">IF(A10="","",_agg!D8/_agg!B8)</f>
        <v/>
      </c>
      <c r="E10" s="35" t="str">
        <f aca="false">IF(A10="","",_agg!C8/_agg!B8)</f>
        <v/>
      </c>
      <c r="F10" s="35" t="str">
        <f aca="false">IF(A10="","",E10-D10)</f>
        <v/>
      </c>
      <c r="G10" s="36" t="str">
        <f aca="false">IF(A10="","",F10/E10)</f>
        <v/>
      </c>
      <c r="H10" s="35" t="str">
        <f aca="false">IF(A10="","",D10/(1-0.25))</f>
        <v/>
      </c>
    </row>
    <row r="11" customFormat="false" ht="15" hidden="false" customHeight="true" outlineLevel="0" collapsed="false">
      <c r="A11" s="18" t="str">
        <f aca="false">IF(IFERROR(_agg!B9,0)&gt;=1,IFERROR(_agg!A9,""),"")</f>
        <v/>
      </c>
      <c r="B11" s="28"/>
      <c r="C11" s="34" t="str">
        <f aca="false">IF(A11="","",_agg!B9)</f>
        <v/>
      </c>
      <c r="D11" s="35" t="str">
        <f aca="false">IF(A11="","",_agg!D9/_agg!B9)</f>
        <v/>
      </c>
      <c r="E11" s="35" t="str">
        <f aca="false">IF(A11="","",_agg!C9/_agg!B9)</f>
        <v/>
      </c>
      <c r="F11" s="35" t="str">
        <f aca="false">IF(A11="","",E11-D11)</f>
        <v/>
      </c>
      <c r="G11" s="36" t="str">
        <f aca="false">IF(A11="","",F11/E11)</f>
        <v/>
      </c>
      <c r="H11" s="35" t="str">
        <f aca="false">IF(A11="","",D11/(1-0.25))</f>
        <v/>
      </c>
    </row>
    <row r="12" customFormat="false" ht="15" hidden="false" customHeight="true" outlineLevel="0" collapsed="false">
      <c r="A12" s="18" t="str">
        <f aca="false">IF(IFERROR(_agg!B10,0)&gt;=1,IFERROR(_agg!A10,""),"")</f>
        <v/>
      </c>
      <c r="B12" s="28"/>
      <c r="C12" s="34" t="str">
        <f aca="false">IF(A12="","",_agg!B10)</f>
        <v/>
      </c>
      <c r="D12" s="35" t="str">
        <f aca="false">IF(A12="","",_agg!D10/_agg!B10)</f>
        <v/>
      </c>
      <c r="E12" s="35" t="str">
        <f aca="false">IF(A12="","",_agg!C10/_agg!B10)</f>
        <v/>
      </c>
      <c r="F12" s="35" t="str">
        <f aca="false">IF(A12="","",E12-D12)</f>
        <v/>
      </c>
      <c r="G12" s="36" t="str">
        <f aca="false">IF(A12="","",F12/E12)</f>
        <v/>
      </c>
      <c r="H12" s="35" t="str">
        <f aca="false">IF(A12="","",D12/(1-0.25))</f>
        <v/>
      </c>
    </row>
    <row r="13" customFormat="false" ht="15" hidden="false" customHeight="true" outlineLevel="0" collapsed="false">
      <c r="A13" s="18" t="str">
        <f aca="false">IF(IFERROR(_agg!B11,0)&gt;=1,IFERROR(_agg!A11,""),"")</f>
        <v/>
      </c>
      <c r="B13" s="28"/>
      <c r="C13" s="34" t="str">
        <f aca="false">IF(A13="","",_agg!B11)</f>
        <v/>
      </c>
      <c r="D13" s="35" t="str">
        <f aca="false">IF(A13="","",_agg!D11/_agg!B11)</f>
        <v/>
      </c>
      <c r="E13" s="35" t="str">
        <f aca="false">IF(A13="","",_agg!C11/_agg!B11)</f>
        <v/>
      </c>
      <c r="F13" s="35" t="str">
        <f aca="false">IF(A13="","",E13-D13)</f>
        <v/>
      </c>
      <c r="G13" s="36" t="str">
        <f aca="false">IF(A13="","",F13/E13)</f>
        <v/>
      </c>
      <c r="H13" s="35" t="str">
        <f aca="false">IF(A13="","",D13/(1-0.25))</f>
        <v/>
      </c>
    </row>
    <row r="14" customFormat="false" ht="15" hidden="false" customHeight="true" outlineLevel="0" collapsed="false">
      <c r="A14" s="18" t="str">
        <f aca="false">IF(IFERROR(_agg!B12,0)&gt;=1,IFERROR(_agg!A12,""),"")</f>
        <v/>
      </c>
      <c r="B14" s="28"/>
      <c r="C14" s="34" t="str">
        <f aca="false">IF(A14="","",_agg!B12)</f>
        <v/>
      </c>
      <c r="D14" s="35" t="str">
        <f aca="false">IF(A14="","",_agg!D12/_agg!B12)</f>
        <v/>
      </c>
      <c r="E14" s="35" t="str">
        <f aca="false">IF(A14="","",_agg!C12/_agg!B12)</f>
        <v/>
      </c>
      <c r="F14" s="35" t="str">
        <f aca="false">IF(A14="","",E14-D14)</f>
        <v/>
      </c>
      <c r="G14" s="36" t="str">
        <f aca="false">IF(A14="","",F14/E14)</f>
        <v/>
      </c>
      <c r="H14" s="35" t="str">
        <f aca="false">IF(A14="","",D14/(1-0.25))</f>
        <v/>
      </c>
    </row>
    <row r="15" customFormat="false" ht="15" hidden="false" customHeight="true" outlineLevel="0" collapsed="false">
      <c r="A15" s="18" t="str">
        <f aca="false">IF(IFERROR(_agg!B13,0)&gt;=1,IFERROR(_agg!A13,""),"")</f>
        <v/>
      </c>
      <c r="B15" s="28"/>
      <c r="C15" s="34" t="str">
        <f aca="false">IF(A15="","",_agg!B13)</f>
        <v/>
      </c>
      <c r="D15" s="35" t="str">
        <f aca="false">IF(A15="","",_agg!D13/_agg!B13)</f>
        <v/>
      </c>
      <c r="E15" s="35" t="str">
        <f aca="false">IF(A15="","",_agg!C13/_agg!B13)</f>
        <v/>
      </c>
      <c r="F15" s="35" t="str">
        <f aca="false">IF(A15="","",E15-D15)</f>
        <v/>
      </c>
      <c r="G15" s="36" t="str">
        <f aca="false">IF(A15="","",F15/E15)</f>
        <v/>
      </c>
      <c r="H15" s="35" t="str">
        <f aca="false">IF(A15="","",D15/(1-0.25))</f>
        <v/>
      </c>
    </row>
    <row r="16" customFormat="false" ht="15" hidden="false" customHeight="true" outlineLevel="0" collapsed="false">
      <c r="A16" s="18" t="str">
        <f aca="false">IF(IFERROR(_agg!B14,0)&gt;=1,IFERROR(_agg!A14,""),"")</f>
        <v/>
      </c>
      <c r="B16" s="28"/>
      <c r="C16" s="34" t="str">
        <f aca="false">IF(A16="","",_agg!B14)</f>
        <v/>
      </c>
      <c r="D16" s="35" t="str">
        <f aca="false">IF(A16="","",_agg!D14/_agg!B14)</f>
        <v/>
      </c>
      <c r="E16" s="35" t="str">
        <f aca="false">IF(A16="","",_agg!C14/_agg!B14)</f>
        <v/>
      </c>
      <c r="F16" s="35" t="str">
        <f aca="false">IF(A16="","",E16-D16)</f>
        <v/>
      </c>
      <c r="G16" s="36" t="str">
        <f aca="false">IF(A16="","",F16/E16)</f>
        <v/>
      </c>
      <c r="H16" s="35" t="str">
        <f aca="false">IF(A16="","",D16/(1-0.25))</f>
        <v/>
      </c>
    </row>
    <row r="17" customFormat="false" ht="15" hidden="false" customHeight="true" outlineLevel="0" collapsed="false">
      <c r="A17" s="18" t="str">
        <f aca="false">IF(IFERROR(_agg!B15,0)&gt;=1,IFERROR(_agg!A15,""),"")</f>
        <v/>
      </c>
      <c r="B17" s="28"/>
      <c r="C17" s="34" t="str">
        <f aca="false">IF(A17="","",_agg!B15)</f>
        <v/>
      </c>
      <c r="D17" s="35" t="str">
        <f aca="false">IF(A17="","",_agg!D15/_agg!B15)</f>
        <v/>
      </c>
      <c r="E17" s="35" t="str">
        <f aca="false">IF(A17="","",_agg!C15/_agg!B15)</f>
        <v/>
      </c>
      <c r="F17" s="35" t="str">
        <f aca="false">IF(A17="","",E17-D17)</f>
        <v/>
      </c>
      <c r="G17" s="36" t="str">
        <f aca="false">IF(A17="","",F17/E17)</f>
        <v/>
      </c>
      <c r="H17" s="35" t="str">
        <f aca="false">IF(A17="","",D17/(1-0.25))</f>
        <v/>
      </c>
    </row>
    <row r="18" customFormat="false" ht="15" hidden="false" customHeight="true" outlineLevel="0" collapsed="false">
      <c r="A18" s="18" t="str">
        <f aca="false">IF(IFERROR(_agg!B16,0)&gt;=1,IFERROR(_agg!A16,""),"")</f>
        <v/>
      </c>
      <c r="B18" s="28"/>
      <c r="C18" s="34" t="str">
        <f aca="false">IF(A18="","",_agg!B16)</f>
        <v/>
      </c>
      <c r="D18" s="35" t="str">
        <f aca="false">IF(A18="","",_agg!D16/_agg!B16)</f>
        <v/>
      </c>
      <c r="E18" s="35" t="str">
        <f aca="false">IF(A18="","",_agg!C16/_agg!B16)</f>
        <v/>
      </c>
      <c r="F18" s="35" t="str">
        <f aca="false">IF(A18="","",E18-D18)</f>
        <v/>
      </c>
      <c r="G18" s="36" t="str">
        <f aca="false">IF(A18="","",F18/E18)</f>
        <v/>
      </c>
      <c r="H18" s="35" t="str">
        <f aca="false">IF(A18="","",D18/(1-0.25))</f>
        <v/>
      </c>
    </row>
    <row r="19" customFormat="false" ht="15" hidden="false" customHeight="true" outlineLevel="0" collapsed="false">
      <c r="A19" s="18" t="str">
        <f aca="false">IF(IFERROR(_agg!B17,0)&gt;=1,IFERROR(_agg!A17,""),"")</f>
        <v/>
      </c>
      <c r="B19" s="28"/>
      <c r="C19" s="34" t="str">
        <f aca="false">IF(A19="","",_agg!B17)</f>
        <v/>
      </c>
      <c r="D19" s="35" t="str">
        <f aca="false">IF(A19="","",_agg!D17/_agg!B17)</f>
        <v/>
      </c>
      <c r="E19" s="35" t="str">
        <f aca="false">IF(A19="","",_agg!C17/_agg!B17)</f>
        <v/>
      </c>
      <c r="F19" s="35" t="str">
        <f aca="false">IF(A19="","",E19-D19)</f>
        <v/>
      </c>
      <c r="G19" s="36" t="str">
        <f aca="false">IF(A19="","",F19/E19)</f>
        <v/>
      </c>
      <c r="H19" s="35" t="str">
        <f aca="false">IF(A19="","",D19/(1-0.25))</f>
        <v/>
      </c>
    </row>
    <row r="20" customFormat="false" ht="15" hidden="false" customHeight="true" outlineLevel="0" collapsed="false">
      <c r="A20" s="18" t="str">
        <f aca="false">IF(IFERROR(_agg!B18,0)&gt;=1,IFERROR(_agg!A18,""),"")</f>
        <v/>
      </c>
      <c r="B20" s="28"/>
      <c r="C20" s="34" t="str">
        <f aca="false">IF(A20="","",_agg!B18)</f>
        <v/>
      </c>
      <c r="D20" s="35" t="str">
        <f aca="false">IF(A20="","",_agg!D18/_agg!B18)</f>
        <v/>
      </c>
      <c r="E20" s="35" t="str">
        <f aca="false">IF(A20="","",_agg!C18/_agg!B18)</f>
        <v/>
      </c>
      <c r="F20" s="35" t="str">
        <f aca="false">IF(A20="","",E20-D20)</f>
        <v/>
      </c>
      <c r="G20" s="36" t="str">
        <f aca="false">IF(A20="","",F20/E20)</f>
        <v/>
      </c>
      <c r="H20" s="35" t="str">
        <f aca="false">IF(A20="","",D20/(1-0.25))</f>
        <v/>
      </c>
    </row>
    <row r="21" customFormat="false" ht="15" hidden="false" customHeight="true" outlineLevel="0" collapsed="false">
      <c r="A21" s="18" t="str">
        <f aca="false">IF(IFERROR(_agg!B19,0)&gt;=1,IFERROR(_agg!A19,""),"")</f>
        <v/>
      </c>
      <c r="B21" s="28"/>
      <c r="C21" s="34" t="str">
        <f aca="false">IF(A21="","",_agg!B19)</f>
        <v/>
      </c>
      <c r="D21" s="35" t="str">
        <f aca="false">IF(A21="","",_agg!D19/_agg!B19)</f>
        <v/>
      </c>
      <c r="E21" s="35" t="str">
        <f aca="false">IF(A21="","",_agg!C19/_agg!B19)</f>
        <v/>
      </c>
      <c r="F21" s="35" t="str">
        <f aca="false">IF(A21="","",E21-D21)</f>
        <v/>
      </c>
      <c r="G21" s="36" t="str">
        <f aca="false">IF(A21="","",F21/E21)</f>
        <v/>
      </c>
      <c r="H21" s="35" t="str">
        <f aca="false">IF(A21="","",D21/(1-0.25))</f>
        <v/>
      </c>
    </row>
    <row r="22" customFormat="false" ht="15" hidden="false" customHeight="true" outlineLevel="0" collapsed="false">
      <c r="A22" s="18" t="str">
        <f aca="false">IF(IFERROR(_agg!B20,0)&gt;=1,IFERROR(_agg!A20,""),"")</f>
        <v/>
      </c>
      <c r="B22" s="28"/>
      <c r="C22" s="34" t="str">
        <f aca="false">IF(A22="","",_agg!B20)</f>
        <v/>
      </c>
      <c r="D22" s="35" t="str">
        <f aca="false">IF(A22="","",_agg!D20/_agg!B20)</f>
        <v/>
      </c>
      <c r="E22" s="35" t="str">
        <f aca="false">IF(A22="","",_agg!C20/_agg!B20)</f>
        <v/>
      </c>
      <c r="F22" s="35" t="str">
        <f aca="false">IF(A22="","",E22-D22)</f>
        <v/>
      </c>
      <c r="G22" s="36" t="str">
        <f aca="false">IF(A22="","",F22/E22)</f>
        <v/>
      </c>
      <c r="H22" s="35" t="str">
        <f aca="false">IF(A22="","",D22/(1-0.25))</f>
        <v/>
      </c>
    </row>
    <row r="23" customFormat="false" ht="15" hidden="false" customHeight="true" outlineLevel="0" collapsed="false">
      <c r="A23" s="18" t="str">
        <f aca="false">IF(IFERROR(_agg!B21,0)&gt;=1,IFERROR(_agg!A21,""),"")</f>
        <v/>
      </c>
      <c r="B23" s="28"/>
      <c r="C23" s="34" t="str">
        <f aca="false">IF(A23="","",_agg!B21)</f>
        <v/>
      </c>
      <c r="D23" s="35" t="str">
        <f aca="false">IF(A23="","",_agg!D21/_agg!B21)</f>
        <v/>
      </c>
      <c r="E23" s="35" t="str">
        <f aca="false">IF(A23="","",_agg!C21/_agg!B21)</f>
        <v/>
      </c>
      <c r="F23" s="35" t="str">
        <f aca="false">IF(A23="","",E23-D23)</f>
        <v/>
      </c>
      <c r="G23" s="36" t="str">
        <f aca="false">IF(A23="","",F23/E23)</f>
        <v/>
      </c>
      <c r="H23" s="35" t="str">
        <f aca="false">IF(A23="","",D23/(1-0.25))</f>
        <v/>
      </c>
    </row>
    <row r="24" customFormat="false" ht="15" hidden="false" customHeight="true" outlineLevel="0" collapsed="false">
      <c r="A24" s="18" t="str">
        <f aca="false">IF(IFERROR(_agg!B22,0)&gt;=1,IFERROR(_agg!A22,""),"")</f>
        <v/>
      </c>
      <c r="B24" s="28"/>
      <c r="C24" s="34" t="str">
        <f aca="false">IF(A24="","",_agg!B22)</f>
        <v/>
      </c>
      <c r="D24" s="35" t="str">
        <f aca="false">IF(A24="","",_agg!D22/_agg!B22)</f>
        <v/>
      </c>
      <c r="E24" s="35" t="str">
        <f aca="false">IF(A24="","",_agg!C22/_agg!B22)</f>
        <v/>
      </c>
      <c r="F24" s="35" t="str">
        <f aca="false">IF(A24="","",E24-D24)</f>
        <v/>
      </c>
      <c r="G24" s="36" t="str">
        <f aca="false">IF(A24="","",F24/E24)</f>
        <v/>
      </c>
      <c r="H24" s="35" t="str">
        <f aca="false">IF(A24="","",D24/(1-0.25))</f>
        <v/>
      </c>
    </row>
    <row r="25" customFormat="false" ht="15" hidden="false" customHeight="true" outlineLevel="0" collapsed="false">
      <c r="A25" s="18" t="str">
        <f aca="false">IF(IFERROR(_agg!B23,0)&gt;=1,IFERROR(_agg!A23,""),"")</f>
        <v/>
      </c>
      <c r="B25" s="28"/>
      <c r="C25" s="34" t="str">
        <f aca="false">IF(A25="","",_agg!B23)</f>
        <v/>
      </c>
      <c r="D25" s="35" t="str">
        <f aca="false">IF(A25="","",_agg!D23/_agg!B23)</f>
        <v/>
      </c>
      <c r="E25" s="35" t="str">
        <f aca="false">IF(A25="","",_agg!C23/_agg!B23)</f>
        <v/>
      </c>
      <c r="F25" s="35" t="str">
        <f aca="false">IF(A25="","",E25-D25)</f>
        <v/>
      </c>
      <c r="G25" s="36" t="str">
        <f aca="false">IF(A25="","",F25/E25)</f>
        <v/>
      </c>
      <c r="H25" s="35" t="str">
        <f aca="false">IF(A25="","",D25/(1-0.25))</f>
        <v/>
      </c>
    </row>
    <row r="26" customFormat="false" ht="15" hidden="false" customHeight="true" outlineLevel="0" collapsed="false">
      <c r="A26" s="18" t="str">
        <f aca="false">IF(IFERROR(_agg!B24,0)&gt;=1,IFERROR(_agg!A24,""),"")</f>
        <v/>
      </c>
      <c r="B26" s="28"/>
      <c r="C26" s="34" t="str">
        <f aca="false">IF(A26="","",_agg!B24)</f>
        <v/>
      </c>
      <c r="D26" s="35" t="str">
        <f aca="false">IF(A26="","",_agg!D24/_agg!B24)</f>
        <v/>
      </c>
      <c r="E26" s="35" t="str">
        <f aca="false">IF(A26="","",_agg!C24/_agg!B24)</f>
        <v/>
      </c>
      <c r="F26" s="35" t="str">
        <f aca="false">IF(A26="","",E26-D26)</f>
        <v/>
      </c>
      <c r="G26" s="36" t="str">
        <f aca="false">IF(A26="","",F26/E26)</f>
        <v/>
      </c>
      <c r="H26" s="35" t="str">
        <f aca="false">IF(A26="","",D26/(1-0.25))</f>
        <v/>
      </c>
    </row>
    <row r="27" customFormat="false" ht="15" hidden="false" customHeight="true" outlineLevel="0" collapsed="false">
      <c r="A27" s="18" t="str">
        <f aca="false">IF(IFERROR(_agg!B25,0)&gt;=1,IFERROR(_agg!A25,""),"")</f>
        <v/>
      </c>
      <c r="B27" s="28"/>
      <c r="C27" s="34" t="str">
        <f aca="false">IF(A27="","",_agg!B25)</f>
        <v/>
      </c>
      <c r="D27" s="35" t="str">
        <f aca="false">IF(A27="","",_agg!D25/_agg!B25)</f>
        <v/>
      </c>
      <c r="E27" s="35" t="str">
        <f aca="false">IF(A27="","",_agg!C25/_agg!B25)</f>
        <v/>
      </c>
      <c r="F27" s="35" t="str">
        <f aca="false">IF(A27="","",E27-D27)</f>
        <v/>
      </c>
      <c r="G27" s="36" t="str">
        <f aca="false">IF(A27="","",F27/E27)</f>
        <v/>
      </c>
      <c r="H27" s="35" t="str">
        <f aca="false">IF(A27="","",D27/(1-0.25))</f>
        <v/>
      </c>
    </row>
    <row r="28" customFormat="false" ht="15" hidden="false" customHeight="true" outlineLevel="0" collapsed="false">
      <c r="A28" s="18" t="str">
        <f aca="false">IF(IFERROR(_agg!B26,0)&gt;=1,IFERROR(_agg!A26,""),"")</f>
        <v/>
      </c>
      <c r="B28" s="28"/>
      <c r="C28" s="34" t="str">
        <f aca="false">IF(A28="","",_agg!B26)</f>
        <v/>
      </c>
      <c r="D28" s="35" t="str">
        <f aca="false">IF(A28="","",_agg!D26/_agg!B26)</f>
        <v/>
      </c>
      <c r="E28" s="35" t="str">
        <f aca="false">IF(A28="","",_agg!C26/_agg!B26)</f>
        <v/>
      </c>
      <c r="F28" s="35" t="str">
        <f aca="false">IF(A28="","",E28-D28)</f>
        <v/>
      </c>
      <c r="G28" s="36" t="str">
        <f aca="false">IF(A28="","",F28/E28)</f>
        <v/>
      </c>
      <c r="H28" s="35" t="str">
        <f aca="false">IF(A28="","",D28/(1-0.25))</f>
        <v/>
      </c>
    </row>
    <row r="29" customFormat="false" ht="15" hidden="false" customHeight="true" outlineLevel="0" collapsed="false">
      <c r="A29" s="18" t="str">
        <f aca="false">IF(IFERROR(_agg!B27,0)&gt;=1,IFERROR(_agg!A27,""),"")</f>
        <v/>
      </c>
      <c r="B29" s="28"/>
      <c r="C29" s="34" t="str">
        <f aca="false">IF(A29="","",_agg!B27)</f>
        <v/>
      </c>
      <c r="D29" s="35" t="str">
        <f aca="false">IF(A29="","",_agg!D27/_agg!B27)</f>
        <v/>
      </c>
      <c r="E29" s="35" t="str">
        <f aca="false">IF(A29="","",_agg!C27/_agg!B27)</f>
        <v/>
      </c>
      <c r="F29" s="35" t="str">
        <f aca="false">IF(A29="","",E29-D29)</f>
        <v/>
      </c>
      <c r="G29" s="36" t="str">
        <f aca="false">IF(A29="","",F29/E29)</f>
        <v/>
      </c>
      <c r="H29" s="35" t="str">
        <f aca="false">IF(A29="","",D29/(1-0.25))</f>
        <v/>
      </c>
    </row>
    <row r="30" customFormat="false" ht="15" hidden="false" customHeight="true" outlineLevel="0" collapsed="false">
      <c r="A30" s="18" t="str">
        <f aca="false">IF(IFERROR(_agg!B28,0)&gt;=1,IFERROR(_agg!A28,""),"")</f>
        <v/>
      </c>
      <c r="B30" s="28"/>
      <c r="C30" s="34" t="str">
        <f aca="false">IF(A30="","",_agg!B28)</f>
        <v/>
      </c>
      <c r="D30" s="35" t="str">
        <f aca="false">IF(A30="","",_agg!D28/_agg!B28)</f>
        <v/>
      </c>
      <c r="E30" s="35" t="str">
        <f aca="false">IF(A30="","",_agg!C28/_agg!B28)</f>
        <v/>
      </c>
      <c r="F30" s="35" t="str">
        <f aca="false">IF(A30="","",E30-D30)</f>
        <v/>
      </c>
      <c r="G30" s="36" t="str">
        <f aca="false">IF(A30="","",F30/E30)</f>
        <v/>
      </c>
      <c r="H30" s="35" t="str">
        <f aca="false">IF(A30="","",D30/(1-0.25))</f>
        <v/>
      </c>
    </row>
    <row r="31" customFormat="false" ht="15" hidden="false" customHeight="true" outlineLevel="0" collapsed="false">
      <c r="A31" s="18" t="str">
        <f aca="false">IF(IFERROR(_agg!B29,0)&gt;=1,IFERROR(_agg!A29,""),"")</f>
        <v/>
      </c>
      <c r="B31" s="28"/>
      <c r="C31" s="34" t="str">
        <f aca="false">IF(A31="","",_agg!B29)</f>
        <v/>
      </c>
      <c r="D31" s="35" t="str">
        <f aca="false">IF(A31="","",_agg!D29/_agg!B29)</f>
        <v/>
      </c>
      <c r="E31" s="35" t="str">
        <f aca="false">IF(A31="","",_agg!C29/_agg!B29)</f>
        <v/>
      </c>
      <c r="F31" s="35" t="str">
        <f aca="false">IF(A31="","",E31-D31)</f>
        <v/>
      </c>
      <c r="G31" s="36" t="str">
        <f aca="false">IF(A31="","",F31/E31)</f>
        <v/>
      </c>
      <c r="H31" s="35" t="str">
        <f aca="false">IF(A31="","",D31/(1-0.25))</f>
        <v/>
      </c>
    </row>
    <row r="32" customFormat="false" ht="15" hidden="false" customHeight="true" outlineLevel="0" collapsed="false">
      <c r="A32" s="18" t="str">
        <f aca="false">IF(IFERROR(_agg!B30,0)&gt;=1,IFERROR(_agg!A30,""),"")</f>
        <v/>
      </c>
      <c r="B32" s="28"/>
      <c r="C32" s="34" t="str">
        <f aca="false">IF(A32="","",_agg!B30)</f>
        <v/>
      </c>
      <c r="D32" s="35" t="str">
        <f aca="false">IF(A32="","",_agg!D30/_agg!B30)</f>
        <v/>
      </c>
      <c r="E32" s="35" t="str">
        <f aca="false">IF(A32="","",_agg!C30/_agg!B30)</f>
        <v/>
      </c>
      <c r="F32" s="35" t="str">
        <f aca="false">IF(A32="","",E32-D32)</f>
        <v/>
      </c>
      <c r="G32" s="36" t="str">
        <f aca="false">IF(A32="","",F32/E32)</f>
        <v/>
      </c>
      <c r="H32" s="35" t="str">
        <f aca="false">IF(A32="","",D32/(1-0.25))</f>
        <v/>
      </c>
    </row>
    <row r="33" customFormat="false" ht="15" hidden="false" customHeight="true" outlineLevel="0" collapsed="false">
      <c r="A33" s="18" t="str">
        <f aca="false">IF(IFERROR(_agg!B31,0)&gt;=1,IFERROR(_agg!A31,""),"")</f>
        <v/>
      </c>
      <c r="B33" s="28"/>
      <c r="C33" s="34" t="str">
        <f aca="false">IF(A33="","",_agg!B31)</f>
        <v/>
      </c>
      <c r="D33" s="35" t="str">
        <f aca="false">IF(A33="","",_agg!D31/_agg!B31)</f>
        <v/>
      </c>
      <c r="E33" s="35" t="str">
        <f aca="false">IF(A33="","",_agg!C31/_agg!B31)</f>
        <v/>
      </c>
      <c r="F33" s="35" t="str">
        <f aca="false">IF(A33="","",E33-D33)</f>
        <v/>
      </c>
      <c r="G33" s="36" t="str">
        <f aca="false">IF(A33="","",F33/E33)</f>
        <v/>
      </c>
      <c r="H33" s="35" t="str">
        <f aca="false">IF(A33="","",D33/(1-0.25))</f>
        <v/>
      </c>
    </row>
    <row r="34" customFormat="false" ht="15" hidden="false" customHeight="true" outlineLevel="0" collapsed="false">
      <c r="A34" s="18" t="str">
        <f aca="false">IF(IFERROR(_agg!B32,0)&gt;=1,IFERROR(_agg!A32,""),"")</f>
        <v/>
      </c>
      <c r="B34" s="28"/>
      <c r="C34" s="34" t="str">
        <f aca="false">IF(A34="","",_agg!B32)</f>
        <v/>
      </c>
      <c r="D34" s="35" t="str">
        <f aca="false">IF(A34="","",_agg!D32/_agg!B32)</f>
        <v/>
      </c>
      <c r="E34" s="35" t="str">
        <f aca="false">IF(A34="","",_agg!C32/_agg!B32)</f>
        <v/>
      </c>
      <c r="F34" s="35" t="str">
        <f aca="false">IF(A34="","",E34-D34)</f>
        <v/>
      </c>
      <c r="G34" s="36" t="str">
        <f aca="false">IF(A34="","",F34/E34)</f>
        <v/>
      </c>
      <c r="H34" s="35" t="str">
        <f aca="false">IF(A34="","",D34/(1-0.25))</f>
        <v/>
      </c>
    </row>
    <row r="35" customFormat="false" ht="15" hidden="false" customHeight="true" outlineLevel="0" collapsed="false">
      <c r="A35" s="18" t="str">
        <f aca="false">IF(IFERROR(_agg!B33,0)&gt;=1,IFERROR(_agg!A33,""),"")</f>
        <v/>
      </c>
      <c r="B35" s="28"/>
      <c r="C35" s="34" t="str">
        <f aca="false">IF(A35="","",_agg!B33)</f>
        <v/>
      </c>
      <c r="D35" s="35" t="str">
        <f aca="false">IF(A35="","",_agg!D33/_agg!B33)</f>
        <v/>
      </c>
      <c r="E35" s="35" t="str">
        <f aca="false">IF(A35="","",_agg!C33/_agg!B33)</f>
        <v/>
      </c>
      <c r="F35" s="35" t="str">
        <f aca="false">IF(A35="","",E35-D35)</f>
        <v/>
      </c>
      <c r="G35" s="36" t="str">
        <f aca="false">IF(A35="","",F35/E35)</f>
        <v/>
      </c>
      <c r="H35" s="35" t="str">
        <f aca="false">IF(A35="","",D35/(1-0.25))</f>
        <v/>
      </c>
    </row>
    <row r="36" customFormat="false" ht="15" hidden="false" customHeight="true" outlineLevel="0" collapsed="false">
      <c r="A36" s="18" t="str">
        <f aca="false">IF(IFERROR(_agg!B34,0)&gt;=1,IFERROR(_agg!A34,""),"")</f>
        <v/>
      </c>
      <c r="B36" s="28"/>
      <c r="C36" s="34" t="str">
        <f aca="false">IF(A36="","",_agg!B34)</f>
        <v/>
      </c>
      <c r="D36" s="35" t="str">
        <f aca="false">IF(A36="","",_agg!D34/_agg!B34)</f>
        <v/>
      </c>
      <c r="E36" s="35" t="str">
        <f aca="false">IF(A36="","",_agg!C34/_agg!B34)</f>
        <v/>
      </c>
      <c r="F36" s="35" t="str">
        <f aca="false">IF(A36="","",E36-D36)</f>
        <v/>
      </c>
      <c r="G36" s="36" t="str">
        <f aca="false">IF(A36="","",F36/E36)</f>
        <v/>
      </c>
      <c r="H36" s="35" t="str">
        <f aca="false">IF(A36="","",D36/(1-0.25))</f>
        <v/>
      </c>
    </row>
    <row r="37" customFormat="false" ht="15" hidden="false" customHeight="true" outlineLevel="0" collapsed="false">
      <c r="A37" s="18" t="str">
        <f aca="false">IF(IFERROR(_agg!B35,0)&gt;=1,IFERROR(_agg!A35,""),"")</f>
        <v/>
      </c>
      <c r="B37" s="28"/>
      <c r="C37" s="34" t="str">
        <f aca="false">IF(A37="","",_agg!B35)</f>
        <v/>
      </c>
      <c r="D37" s="35" t="str">
        <f aca="false">IF(A37="","",_agg!D35/_agg!B35)</f>
        <v/>
      </c>
      <c r="E37" s="35" t="str">
        <f aca="false">IF(A37="","",_agg!C35/_agg!B35)</f>
        <v/>
      </c>
      <c r="F37" s="35" t="str">
        <f aca="false">IF(A37="","",E37-D37)</f>
        <v/>
      </c>
      <c r="G37" s="36" t="str">
        <f aca="false">IF(A37="","",F37/E37)</f>
        <v/>
      </c>
      <c r="H37" s="35" t="str">
        <f aca="false">IF(A37="","",D37/(1-0.25))</f>
        <v/>
      </c>
    </row>
    <row r="38" customFormat="false" ht="15" hidden="false" customHeight="true" outlineLevel="0" collapsed="false">
      <c r="A38" s="18" t="str">
        <f aca="false">IF(IFERROR(_agg!B36,0)&gt;=1,IFERROR(_agg!A36,""),"")</f>
        <v/>
      </c>
      <c r="B38" s="28"/>
      <c r="C38" s="34" t="str">
        <f aca="false">IF(A38="","",_agg!B36)</f>
        <v/>
      </c>
      <c r="D38" s="35" t="str">
        <f aca="false">IF(A38="","",_agg!D36/_agg!B36)</f>
        <v/>
      </c>
      <c r="E38" s="35" t="str">
        <f aca="false">IF(A38="","",_agg!C36/_agg!B36)</f>
        <v/>
      </c>
      <c r="F38" s="35" t="str">
        <f aca="false">IF(A38="","",E38-D38)</f>
        <v/>
      </c>
      <c r="G38" s="36" t="str">
        <f aca="false">IF(A38="","",F38/E38)</f>
        <v/>
      </c>
      <c r="H38" s="35" t="str">
        <f aca="false">IF(A38="","",D38/(1-0.25))</f>
        <v/>
      </c>
    </row>
    <row r="39" customFormat="false" ht="15" hidden="false" customHeight="true" outlineLevel="0" collapsed="false">
      <c r="A39" s="18" t="str">
        <f aca="false">IF(IFERROR(_agg!B37,0)&gt;=1,IFERROR(_agg!A37,""),"")</f>
        <v/>
      </c>
      <c r="B39" s="28"/>
      <c r="C39" s="34" t="str">
        <f aca="false">IF(A39="","",_agg!B37)</f>
        <v/>
      </c>
      <c r="D39" s="35" t="str">
        <f aca="false">IF(A39="","",_agg!D37/_agg!B37)</f>
        <v/>
      </c>
      <c r="E39" s="35" t="str">
        <f aca="false">IF(A39="","",_agg!C37/_agg!B37)</f>
        <v/>
      </c>
      <c r="F39" s="35" t="str">
        <f aca="false">IF(A39="","",E39-D39)</f>
        <v/>
      </c>
      <c r="G39" s="36" t="str">
        <f aca="false">IF(A39="","",F39/E39)</f>
        <v/>
      </c>
      <c r="H39" s="35" t="str">
        <f aca="false">IF(A39="","",D39/(1-0.25))</f>
        <v/>
      </c>
    </row>
    <row r="40" customFormat="false" ht="15" hidden="false" customHeight="true" outlineLevel="0" collapsed="false">
      <c r="A40" s="18" t="str">
        <f aca="false">IF(IFERROR(_agg!B38,0)&gt;=1,IFERROR(_agg!A38,""),"")</f>
        <v/>
      </c>
      <c r="B40" s="28"/>
      <c r="C40" s="34" t="str">
        <f aca="false">IF(A40="","",_agg!B38)</f>
        <v/>
      </c>
      <c r="D40" s="35" t="str">
        <f aca="false">IF(A40="","",_agg!D38/_agg!B38)</f>
        <v/>
      </c>
      <c r="E40" s="35" t="str">
        <f aca="false">IF(A40="","",_agg!C38/_agg!B38)</f>
        <v/>
      </c>
      <c r="F40" s="35" t="str">
        <f aca="false">IF(A40="","",E40-D40)</f>
        <v/>
      </c>
      <c r="G40" s="36" t="str">
        <f aca="false">IF(A40="","",F40/E40)</f>
        <v/>
      </c>
      <c r="H40" s="35" t="str">
        <f aca="false">IF(A40="","",D40/(1-0.25))</f>
        <v/>
      </c>
    </row>
    <row r="41" customFormat="false" ht="15" hidden="false" customHeight="true" outlineLevel="0" collapsed="false">
      <c r="A41" s="18" t="str">
        <f aca="false">IF(IFERROR(_agg!B39,0)&gt;=1,IFERROR(_agg!A39,""),"")</f>
        <v/>
      </c>
      <c r="B41" s="28"/>
      <c r="C41" s="34" t="str">
        <f aca="false">IF(A41="","",_agg!B39)</f>
        <v/>
      </c>
      <c r="D41" s="35" t="str">
        <f aca="false">IF(A41="","",_agg!D39/_agg!B39)</f>
        <v/>
      </c>
      <c r="E41" s="35" t="str">
        <f aca="false">IF(A41="","",_agg!C39/_agg!B39)</f>
        <v/>
      </c>
      <c r="F41" s="35" t="str">
        <f aca="false">IF(A41="","",E41-D41)</f>
        <v/>
      </c>
      <c r="G41" s="36" t="str">
        <f aca="false">IF(A41="","",F41/E41)</f>
        <v/>
      </c>
      <c r="H41" s="35" t="str">
        <f aca="false">IF(A41="","",D41/(1-0.25))</f>
        <v/>
      </c>
    </row>
    <row r="42" customFormat="false" ht="15" hidden="false" customHeight="true" outlineLevel="0" collapsed="false">
      <c r="A42" s="18" t="str">
        <f aca="false">IF(IFERROR(_agg!B40,0)&gt;=1,IFERROR(_agg!A40,""),"")</f>
        <v/>
      </c>
      <c r="B42" s="28"/>
      <c r="C42" s="34" t="str">
        <f aca="false">IF(A42="","",_agg!B40)</f>
        <v/>
      </c>
      <c r="D42" s="35" t="str">
        <f aca="false">IF(A42="","",_agg!D40/_agg!B40)</f>
        <v/>
      </c>
      <c r="E42" s="35" t="str">
        <f aca="false">IF(A42="","",_agg!C40/_agg!B40)</f>
        <v/>
      </c>
      <c r="F42" s="35" t="str">
        <f aca="false">IF(A42="","",E42-D42)</f>
        <v/>
      </c>
      <c r="G42" s="36" t="str">
        <f aca="false">IF(A42="","",F42/E42)</f>
        <v/>
      </c>
      <c r="H42" s="35" t="str">
        <f aca="false">IF(A42="","",D42/(1-0.25))</f>
        <v/>
      </c>
    </row>
    <row r="43" customFormat="false" ht="15" hidden="false" customHeight="true" outlineLevel="0" collapsed="false">
      <c r="A43" s="18" t="str">
        <f aca="false">IF(IFERROR(_agg!B41,0)&gt;=1,IFERROR(_agg!A41,""),"")</f>
        <v/>
      </c>
      <c r="B43" s="28"/>
      <c r="C43" s="34" t="str">
        <f aca="false">IF(A43="","",_agg!B41)</f>
        <v/>
      </c>
      <c r="D43" s="35" t="str">
        <f aca="false">IF(A43="","",_agg!D41/_agg!B41)</f>
        <v/>
      </c>
      <c r="E43" s="35" t="str">
        <f aca="false">IF(A43="","",_agg!C41/_agg!B41)</f>
        <v/>
      </c>
      <c r="F43" s="35" t="str">
        <f aca="false">IF(A43="","",E43-D43)</f>
        <v/>
      </c>
      <c r="G43" s="36" t="str">
        <f aca="false">IF(A43="","",F43/E43)</f>
        <v/>
      </c>
      <c r="H43" s="35" t="str">
        <f aca="false">IF(A43="","",D43/(1-0.25))</f>
        <v/>
      </c>
    </row>
    <row r="44" customFormat="false" ht="15" hidden="false" customHeight="true" outlineLevel="0" collapsed="false">
      <c r="A44" s="18" t="str">
        <f aca="false">IF(IFERROR(_agg!B42,0)&gt;=1,IFERROR(_agg!A42,""),"")</f>
        <v/>
      </c>
      <c r="B44" s="28"/>
      <c r="C44" s="34" t="str">
        <f aca="false">IF(A44="","",_agg!B42)</f>
        <v/>
      </c>
      <c r="D44" s="35" t="str">
        <f aca="false">IF(A44="","",_agg!D42/_agg!B42)</f>
        <v/>
      </c>
      <c r="E44" s="35" t="str">
        <f aca="false">IF(A44="","",_agg!C42/_agg!B42)</f>
        <v/>
      </c>
      <c r="F44" s="35" t="str">
        <f aca="false">IF(A44="","",E44-D44)</f>
        <v/>
      </c>
      <c r="G44" s="36" t="str">
        <f aca="false">IF(A44="","",F44/E44)</f>
        <v/>
      </c>
      <c r="H44" s="35" t="str">
        <f aca="false">IF(A44="","",D44/(1-0.25))</f>
        <v/>
      </c>
    </row>
    <row r="45" customFormat="false" ht="15" hidden="false" customHeight="true" outlineLevel="0" collapsed="false">
      <c r="A45" s="18" t="str">
        <f aca="false">IF(IFERROR(_agg!B43,0)&gt;=1,IFERROR(_agg!A43,""),"")</f>
        <v/>
      </c>
      <c r="B45" s="28"/>
      <c r="C45" s="34" t="str">
        <f aca="false">IF(A45="","",_agg!B43)</f>
        <v/>
      </c>
      <c r="D45" s="35" t="str">
        <f aca="false">IF(A45="","",_agg!D43/_agg!B43)</f>
        <v/>
      </c>
      <c r="E45" s="35" t="str">
        <f aca="false">IF(A45="","",_agg!C43/_agg!B43)</f>
        <v/>
      </c>
      <c r="F45" s="35" t="str">
        <f aca="false">IF(A45="","",E45-D45)</f>
        <v/>
      </c>
      <c r="G45" s="36" t="str">
        <f aca="false">IF(A45="","",F45/E45)</f>
        <v/>
      </c>
      <c r="H45" s="35" t="str">
        <f aca="false">IF(A45="","",D45/(1-0.25))</f>
        <v/>
      </c>
    </row>
    <row r="46" customFormat="false" ht="15" hidden="false" customHeight="true" outlineLevel="0" collapsed="false">
      <c r="A46" s="18" t="str">
        <f aca="false">IF(IFERROR(_agg!B44,0)&gt;=1,IFERROR(_agg!A44,""),"")</f>
        <v/>
      </c>
      <c r="B46" s="28"/>
      <c r="C46" s="34" t="str">
        <f aca="false">IF(A46="","",_agg!B44)</f>
        <v/>
      </c>
      <c r="D46" s="35" t="str">
        <f aca="false">IF(A46="","",_agg!D44/_agg!B44)</f>
        <v/>
      </c>
      <c r="E46" s="35" t="str">
        <f aca="false">IF(A46="","",_agg!C44/_agg!B44)</f>
        <v/>
      </c>
      <c r="F46" s="35" t="str">
        <f aca="false">IF(A46="","",E46-D46)</f>
        <v/>
      </c>
      <c r="G46" s="36" t="str">
        <f aca="false">IF(A46="","",F46/E46)</f>
        <v/>
      </c>
      <c r="H46" s="35" t="str">
        <f aca="false">IF(A46="","",D46/(1-0.25))</f>
        <v/>
      </c>
    </row>
    <row r="47" customFormat="false" ht="15" hidden="false" customHeight="true" outlineLevel="0" collapsed="false">
      <c r="A47" s="18" t="str">
        <f aca="false">IF(IFERROR(_agg!B45,0)&gt;=1,IFERROR(_agg!A45,""),"")</f>
        <v/>
      </c>
      <c r="B47" s="28"/>
      <c r="C47" s="34" t="str">
        <f aca="false">IF(A47="","",_agg!B45)</f>
        <v/>
      </c>
      <c r="D47" s="35" t="str">
        <f aca="false">IF(A47="","",_agg!D45/_agg!B45)</f>
        <v/>
      </c>
      <c r="E47" s="35" t="str">
        <f aca="false">IF(A47="","",_agg!C45/_agg!B45)</f>
        <v/>
      </c>
      <c r="F47" s="35" t="str">
        <f aca="false">IF(A47="","",E47-D47)</f>
        <v/>
      </c>
      <c r="G47" s="36" t="str">
        <f aca="false">IF(A47="","",F47/E47)</f>
        <v/>
      </c>
      <c r="H47" s="35" t="str">
        <f aca="false">IF(A47="","",D47/(1-0.25))</f>
        <v/>
      </c>
    </row>
    <row r="48" customFormat="false" ht="15" hidden="false" customHeight="true" outlineLevel="0" collapsed="false">
      <c r="A48" s="18" t="str">
        <f aca="false">IF(IFERROR(_agg!B46,0)&gt;=1,IFERROR(_agg!A46,""),"")</f>
        <v/>
      </c>
      <c r="B48" s="28"/>
      <c r="C48" s="34" t="str">
        <f aca="false">IF(A48="","",_agg!B46)</f>
        <v/>
      </c>
      <c r="D48" s="35" t="str">
        <f aca="false">IF(A48="","",_agg!D46/_agg!B46)</f>
        <v/>
      </c>
      <c r="E48" s="35" t="str">
        <f aca="false">IF(A48="","",_agg!C46/_agg!B46)</f>
        <v/>
      </c>
      <c r="F48" s="35" t="str">
        <f aca="false">IF(A48="","",E48-D48)</f>
        <v/>
      </c>
      <c r="G48" s="36" t="str">
        <f aca="false">IF(A48="","",F48/E48)</f>
        <v/>
      </c>
      <c r="H48" s="35" t="str">
        <f aca="false">IF(A48="","",D48/(1-0.25))</f>
        <v/>
      </c>
    </row>
    <row r="49" customFormat="false" ht="15" hidden="false" customHeight="true" outlineLevel="0" collapsed="false">
      <c r="A49" s="18" t="str">
        <f aca="false">IF(IFERROR(_agg!B47,0)&gt;=1,IFERROR(_agg!A47,""),"")</f>
        <v/>
      </c>
      <c r="B49" s="28"/>
      <c r="C49" s="34" t="str">
        <f aca="false">IF(A49="","",_agg!B47)</f>
        <v/>
      </c>
      <c r="D49" s="35" t="str">
        <f aca="false">IF(A49="","",_agg!D47/_agg!B47)</f>
        <v/>
      </c>
      <c r="E49" s="35" t="str">
        <f aca="false">IF(A49="","",_agg!C47/_agg!B47)</f>
        <v/>
      </c>
      <c r="F49" s="35" t="str">
        <f aca="false">IF(A49="","",E49-D49)</f>
        <v/>
      </c>
      <c r="G49" s="36" t="str">
        <f aca="false">IF(A49="","",F49/E49)</f>
        <v/>
      </c>
      <c r="H49" s="35" t="str">
        <f aca="false">IF(A49="","",D49/(1-0.25))</f>
        <v/>
      </c>
    </row>
    <row r="50" customFormat="false" ht="15" hidden="false" customHeight="true" outlineLevel="0" collapsed="false">
      <c r="A50" s="18" t="str">
        <f aca="false">IF(IFERROR(_agg!B48,0)&gt;=1,IFERROR(_agg!A48,""),"")</f>
        <v/>
      </c>
      <c r="B50" s="28"/>
      <c r="C50" s="34" t="str">
        <f aca="false">IF(A50="","",_agg!B48)</f>
        <v/>
      </c>
      <c r="D50" s="35" t="str">
        <f aca="false">IF(A50="","",_agg!D48/_agg!B48)</f>
        <v/>
      </c>
      <c r="E50" s="35" t="str">
        <f aca="false">IF(A50="","",_agg!C48/_agg!B48)</f>
        <v/>
      </c>
      <c r="F50" s="35" t="str">
        <f aca="false">IF(A50="","",E50-D50)</f>
        <v/>
      </c>
      <c r="G50" s="36" t="str">
        <f aca="false">IF(A50="","",F50/E50)</f>
        <v/>
      </c>
      <c r="H50" s="35" t="str">
        <f aca="false">IF(A50="","",D50/(1-0.25))</f>
        <v/>
      </c>
    </row>
    <row r="51" customFormat="false" ht="15" hidden="false" customHeight="true" outlineLevel="0" collapsed="false">
      <c r="A51" s="18" t="str">
        <f aca="false">IF(IFERROR(_agg!B49,0)&gt;=1,IFERROR(_agg!A49,""),"")</f>
        <v/>
      </c>
      <c r="B51" s="28"/>
      <c r="C51" s="34" t="str">
        <f aca="false">IF(A51="","",_agg!B49)</f>
        <v/>
      </c>
      <c r="D51" s="35" t="str">
        <f aca="false">IF(A51="","",_agg!D49/_agg!B49)</f>
        <v/>
      </c>
      <c r="E51" s="35" t="str">
        <f aca="false">IF(A51="","",_agg!C49/_agg!B49)</f>
        <v/>
      </c>
      <c r="F51" s="35" t="str">
        <f aca="false">IF(A51="","",E51-D51)</f>
        <v/>
      </c>
      <c r="G51" s="36" t="str">
        <f aca="false">IF(A51="","",F51/E51)</f>
        <v/>
      </c>
      <c r="H51" s="35" t="str">
        <f aca="false">IF(A51="","",D51/(1-0.25))</f>
        <v/>
      </c>
    </row>
    <row r="52" customFormat="false" ht="15" hidden="false" customHeight="true" outlineLevel="0" collapsed="false">
      <c r="A52" s="18" t="str">
        <f aca="false">IF(IFERROR(_agg!B50,0)&gt;=1,IFERROR(_agg!A50,""),"")</f>
        <v/>
      </c>
      <c r="B52" s="28"/>
      <c r="C52" s="34" t="str">
        <f aca="false">IF(A52="","",_agg!B50)</f>
        <v/>
      </c>
      <c r="D52" s="35" t="str">
        <f aca="false">IF(A52="","",_agg!D50/_agg!B50)</f>
        <v/>
      </c>
      <c r="E52" s="35" t="str">
        <f aca="false">IF(A52="","",_agg!C50/_agg!B50)</f>
        <v/>
      </c>
      <c r="F52" s="35" t="str">
        <f aca="false">IF(A52="","",E52-D52)</f>
        <v/>
      </c>
      <c r="G52" s="36" t="str">
        <f aca="false">IF(A52="","",F52/E52)</f>
        <v/>
      </c>
      <c r="H52" s="35" t="str">
        <f aca="false">IF(A52="","",D52/(1-0.25))</f>
        <v/>
      </c>
    </row>
    <row r="53" customFormat="false" ht="15" hidden="false" customHeight="true" outlineLevel="0" collapsed="false">
      <c r="A53" s="18" t="str">
        <f aca="false">IF(IFERROR(_agg!B51,0)&gt;=1,IFERROR(_agg!A51,""),"")</f>
        <v/>
      </c>
      <c r="B53" s="28"/>
      <c r="C53" s="34" t="str">
        <f aca="false">IF(A53="","",_agg!B51)</f>
        <v/>
      </c>
      <c r="D53" s="35" t="str">
        <f aca="false">IF(A53="","",_agg!D51/_agg!B51)</f>
        <v/>
      </c>
      <c r="E53" s="35" t="str">
        <f aca="false">IF(A53="","",_agg!C51/_agg!B51)</f>
        <v/>
      </c>
      <c r="F53" s="35" t="str">
        <f aca="false">IF(A53="","",E53-D53)</f>
        <v/>
      </c>
      <c r="G53" s="36" t="str">
        <f aca="false">IF(A53="","",F53/E53)</f>
        <v/>
      </c>
      <c r="H53" s="35" t="str">
        <f aca="false">IF(A53="","",D53/(1-0.25))</f>
        <v/>
      </c>
    </row>
    <row r="54" customFormat="false" ht="15" hidden="false" customHeight="true" outlineLevel="0" collapsed="false">
      <c r="A54" s="18" t="str">
        <f aca="false">IF(IFERROR(_agg!B52,0)&gt;=1,IFERROR(_agg!A52,""),"")</f>
        <v/>
      </c>
      <c r="B54" s="28"/>
      <c r="C54" s="34" t="str">
        <f aca="false">IF(A54="","",_agg!B52)</f>
        <v/>
      </c>
      <c r="D54" s="35" t="str">
        <f aca="false">IF(A54="","",_agg!D52/_agg!B52)</f>
        <v/>
      </c>
      <c r="E54" s="35" t="str">
        <f aca="false">IF(A54="","",_agg!C52/_agg!B52)</f>
        <v/>
      </c>
      <c r="F54" s="35" t="str">
        <f aca="false">IF(A54="","",E54-D54)</f>
        <v/>
      </c>
      <c r="G54" s="36" t="str">
        <f aca="false">IF(A54="","",F54/E54)</f>
        <v/>
      </c>
      <c r="H54" s="35" t="str">
        <f aca="false">IF(A54="","",D54/(1-0.25))</f>
        <v/>
      </c>
    </row>
    <row r="55" customFormat="false" ht="15" hidden="false" customHeight="true" outlineLevel="0" collapsed="false">
      <c r="A55" s="18" t="str">
        <f aca="false">IF(IFERROR(_agg!B53,0)&gt;=1,IFERROR(_agg!A53,""),"")</f>
        <v/>
      </c>
      <c r="B55" s="28"/>
      <c r="C55" s="34" t="str">
        <f aca="false">IF(A55="","",_agg!B53)</f>
        <v/>
      </c>
      <c r="D55" s="35" t="str">
        <f aca="false">IF(A55="","",_agg!D53/_agg!B53)</f>
        <v/>
      </c>
      <c r="E55" s="35" t="str">
        <f aca="false">IF(A55="","",_agg!C53/_agg!B53)</f>
        <v/>
      </c>
      <c r="F55" s="35" t="str">
        <f aca="false">IF(A55="","",E55-D55)</f>
        <v/>
      </c>
      <c r="G55" s="36" t="str">
        <f aca="false">IF(A55="","",F55/E55)</f>
        <v/>
      </c>
      <c r="H55" s="35" t="str">
        <f aca="false">IF(A55="","",D55/(1-0.25))</f>
        <v/>
      </c>
    </row>
    <row r="56" customFormat="false" ht="15" hidden="false" customHeight="true" outlineLevel="0" collapsed="false">
      <c r="A56" s="18" t="str">
        <f aca="false">IF(IFERROR(_agg!B54,0)&gt;=1,IFERROR(_agg!A54,""),"")</f>
        <v/>
      </c>
      <c r="B56" s="28"/>
      <c r="C56" s="34" t="str">
        <f aca="false">IF(A56="","",_agg!B54)</f>
        <v/>
      </c>
      <c r="D56" s="35" t="str">
        <f aca="false">IF(A56="","",_agg!D54/_agg!B54)</f>
        <v/>
      </c>
      <c r="E56" s="35" t="str">
        <f aca="false">IF(A56="","",_agg!C54/_agg!B54)</f>
        <v/>
      </c>
      <c r="F56" s="35" t="str">
        <f aca="false">IF(A56="","",E56-D56)</f>
        <v/>
      </c>
      <c r="G56" s="36" t="str">
        <f aca="false">IF(A56="","",F56/E56)</f>
        <v/>
      </c>
      <c r="H56" s="35" t="str">
        <f aca="false">IF(A56="","",D56/(1-0.25))</f>
        <v/>
      </c>
    </row>
    <row r="57" customFormat="false" ht="15" hidden="false" customHeight="true" outlineLevel="0" collapsed="false">
      <c r="A57" s="18" t="str">
        <f aca="false">IF(IFERROR(_agg!B55,0)&gt;=1,IFERROR(_agg!A55,""),"")</f>
        <v/>
      </c>
      <c r="B57" s="28"/>
      <c r="C57" s="34" t="str">
        <f aca="false">IF(A57="","",_agg!B55)</f>
        <v/>
      </c>
      <c r="D57" s="35" t="str">
        <f aca="false">IF(A57="","",_agg!D55/_agg!B55)</f>
        <v/>
      </c>
      <c r="E57" s="35" t="str">
        <f aca="false">IF(A57="","",_agg!C55/_agg!B55)</f>
        <v/>
      </c>
      <c r="F57" s="35" t="str">
        <f aca="false">IF(A57="","",E57-D57)</f>
        <v/>
      </c>
      <c r="G57" s="36" t="str">
        <f aca="false">IF(A57="","",F57/E57)</f>
        <v/>
      </c>
      <c r="H57" s="35" t="str">
        <f aca="false">IF(A57="","",D57/(1-0.25))</f>
        <v/>
      </c>
    </row>
    <row r="58" customFormat="false" ht="15" hidden="false" customHeight="true" outlineLevel="0" collapsed="false">
      <c r="A58" s="18" t="str">
        <f aca="false">IF(IFERROR(_agg!B56,0)&gt;=1,IFERROR(_agg!A56,""),"")</f>
        <v/>
      </c>
      <c r="B58" s="28"/>
      <c r="C58" s="34" t="str">
        <f aca="false">IF(A58="","",_agg!B56)</f>
        <v/>
      </c>
      <c r="D58" s="35" t="str">
        <f aca="false">IF(A58="","",_agg!D56/_agg!B56)</f>
        <v/>
      </c>
      <c r="E58" s="35" t="str">
        <f aca="false">IF(A58="","",_agg!C56/_agg!B56)</f>
        <v/>
      </c>
      <c r="F58" s="35" t="str">
        <f aca="false">IF(A58="","",E58-D58)</f>
        <v/>
      </c>
      <c r="G58" s="36" t="str">
        <f aca="false">IF(A58="","",F58/E58)</f>
        <v/>
      </c>
      <c r="H58" s="35" t="str">
        <f aca="false">IF(A58="","",D58/(1-0.25))</f>
        <v/>
      </c>
    </row>
    <row r="59" customFormat="false" ht="15" hidden="false" customHeight="true" outlineLevel="0" collapsed="false">
      <c r="A59" s="18" t="str">
        <f aca="false">IF(IFERROR(_agg!B57,0)&gt;=1,IFERROR(_agg!A57,""),"")</f>
        <v/>
      </c>
      <c r="B59" s="28"/>
      <c r="C59" s="34" t="str">
        <f aca="false">IF(A59="","",_agg!B57)</f>
        <v/>
      </c>
      <c r="D59" s="35" t="str">
        <f aca="false">IF(A59="","",_agg!D57/_agg!B57)</f>
        <v/>
      </c>
      <c r="E59" s="35" t="str">
        <f aca="false">IF(A59="","",_agg!C57/_agg!B57)</f>
        <v/>
      </c>
      <c r="F59" s="35" t="str">
        <f aca="false">IF(A59="","",E59-D59)</f>
        <v/>
      </c>
      <c r="G59" s="36" t="str">
        <f aca="false">IF(A59="","",F59/E59)</f>
        <v/>
      </c>
      <c r="H59" s="35" t="str">
        <f aca="false">IF(A59="","",D59/(1-0.25))</f>
        <v/>
      </c>
    </row>
    <row r="60" customFormat="false" ht="15" hidden="false" customHeight="true" outlineLevel="0" collapsed="false">
      <c r="A60" s="18" t="str">
        <f aca="false">IF(IFERROR(_agg!B58,0)&gt;=1,IFERROR(_agg!A58,""),"")</f>
        <v/>
      </c>
      <c r="B60" s="28"/>
      <c r="C60" s="34" t="str">
        <f aca="false">IF(A60="","",_agg!B58)</f>
        <v/>
      </c>
      <c r="D60" s="35" t="str">
        <f aca="false">IF(A60="","",_agg!D58/_agg!B58)</f>
        <v/>
      </c>
      <c r="E60" s="35" t="str">
        <f aca="false">IF(A60="","",_agg!C58/_agg!B58)</f>
        <v/>
      </c>
      <c r="F60" s="35" t="str">
        <f aca="false">IF(A60="","",E60-D60)</f>
        <v/>
      </c>
      <c r="G60" s="36" t="str">
        <f aca="false">IF(A60="","",F60/E60)</f>
        <v/>
      </c>
      <c r="H60" s="35" t="str">
        <f aca="false">IF(A60="","",D60/(1-0.25))</f>
        <v/>
      </c>
    </row>
    <row r="61" customFormat="false" ht="15" hidden="false" customHeight="true" outlineLevel="0" collapsed="false">
      <c r="A61" s="18" t="str">
        <f aca="false">IF(IFERROR(_agg!B59,0)&gt;=1,IFERROR(_agg!A59,""),"")</f>
        <v/>
      </c>
      <c r="B61" s="28"/>
      <c r="C61" s="34" t="str">
        <f aca="false">IF(A61="","",_agg!B59)</f>
        <v/>
      </c>
      <c r="D61" s="35" t="str">
        <f aca="false">IF(A61="","",_agg!D59/_agg!B59)</f>
        <v/>
      </c>
      <c r="E61" s="35" t="str">
        <f aca="false">IF(A61="","",_agg!C59/_agg!B59)</f>
        <v/>
      </c>
      <c r="F61" s="35" t="str">
        <f aca="false">IF(A61="","",E61-D61)</f>
        <v/>
      </c>
      <c r="G61" s="36" t="str">
        <f aca="false">IF(A61="","",F61/E61)</f>
        <v/>
      </c>
      <c r="H61" s="35" t="str">
        <f aca="false">IF(A61="","",D61/(1-0.25))</f>
        <v/>
      </c>
    </row>
    <row r="62" customFormat="false" ht="15" hidden="false" customHeight="true" outlineLevel="0" collapsed="false">
      <c r="A62" s="18" t="str">
        <f aca="false">IF(IFERROR(_agg!B60,0)&gt;=1,IFERROR(_agg!A60,""),"")</f>
        <v/>
      </c>
      <c r="B62" s="28"/>
      <c r="C62" s="34" t="str">
        <f aca="false">IF(A62="","",_agg!B60)</f>
        <v/>
      </c>
      <c r="D62" s="35" t="str">
        <f aca="false">IF(A62="","",_agg!D60/_agg!B60)</f>
        <v/>
      </c>
      <c r="E62" s="35" t="str">
        <f aca="false">IF(A62="","",_agg!C60/_agg!B60)</f>
        <v/>
      </c>
      <c r="F62" s="35" t="str">
        <f aca="false">IF(A62="","",E62-D62)</f>
        <v/>
      </c>
      <c r="G62" s="36" t="str">
        <f aca="false">IF(A62="","",F62/E62)</f>
        <v/>
      </c>
      <c r="H62" s="35" t="str">
        <f aca="false">IF(A62="","",D62/(1-0.25))</f>
        <v/>
      </c>
    </row>
    <row r="63" customFormat="false" ht="15" hidden="false" customHeight="true" outlineLevel="0" collapsed="false">
      <c r="A63" s="18" t="str">
        <f aca="false">IF(IFERROR(_agg!B61,0)&gt;=1,IFERROR(_agg!A61,""),"")</f>
        <v/>
      </c>
      <c r="B63" s="28"/>
      <c r="C63" s="34" t="str">
        <f aca="false">IF(A63="","",_agg!B61)</f>
        <v/>
      </c>
      <c r="D63" s="35" t="str">
        <f aca="false">IF(A63="","",_agg!D61/_agg!B61)</f>
        <v/>
      </c>
      <c r="E63" s="35" t="str">
        <f aca="false">IF(A63="","",_agg!C61/_agg!B61)</f>
        <v/>
      </c>
      <c r="F63" s="35" t="str">
        <f aca="false">IF(A63="","",E63-D63)</f>
        <v/>
      </c>
      <c r="G63" s="36" t="str">
        <f aca="false">IF(A63="","",F63/E63)</f>
        <v/>
      </c>
      <c r="H63" s="35" t="str">
        <f aca="false">IF(A63="","",D63/(1-0.25))</f>
        <v/>
      </c>
    </row>
    <row r="65" customFormat="false" ht="15.75" hidden="false" customHeight="true" outlineLevel="0" collapsed="false">
      <c r="A65" s="42" t="s">
        <v>131</v>
      </c>
      <c r="B65" s="42"/>
      <c r="C65" s="42"/>
      <c r="D65" s="42"/>
      <c r="E65" s="42"/>
      <c r="F65" s="42"/>
      <c r="G65" s="42"/>
      <c r="H65" s="42"/>
    </row>
    <row r="67" customFormat="false" ht="15" hidden="false" customHeight="true" outlineLevel="0" collapsed="false">
      <c r="A67" s="43" t="s">
        <v>54</v>
      </c>
      <c r="B67" s="44" t="n">
        <v>100</v>
      </c>
    </row>
    <row r="68" customFormat="false" ht="15" hidden="false" customHeight="true" outlineLevel="0" collapsed="false">
      <c r="A68" s="1" t="s">
        <v>132</v>
      </c>
      <c r="B68" s="45" t="n">
        <v>0.25</v>
      </c>
    </row>
    <row r="69" customFormat="false" ht="15" hidden="false" customHeight="true" outlineLevel="0" collapsed="false">
      <c r="A69" s="7" t="s">
        <v>133</v>
      </c>
      <c r="B69" s="14" t="n">
        <f aca="false">IFERROR(B67/(1-B68),0)</f>
        <v>133.333333333333</v>
      </c>
    </row>
    <row r="70" customFormat="false" ht="15" hidden="false" customHeight="true" outlineLevel="0" collapsed="false">
      <c r="A70" s="7" t="s">
        <v>134</v>
      </c>
      <c r="B70" s="46" t="n">
        <f aca="false">B69-B67</f>
        <v>33.3333333333333</v>
      </c>
    </row>
    <row r="72" customFormat="false" ht="15" hidden="false" customHeight="true" outlineLevel="0" collapsed="false">
      <c r="A72" s="7" t="s">
        <v>135</v>
      </c>
    </row>
    <row r="73" customFormat="false" ht="26.25" hidden="false" customHeight="true" outlineLevel="0" collapsed="false">
      <c r="A73" s="16" t="s">
        <v>136</v>
      </c>
      <c r="B73" s="16" t="s">
        <v>137</v>
      </c>
      <c r="C73" s="16" t="s">
        <v>133</v>
      </c>
    </row>
    <row r="74" customFormat="false" ht="15" hidden="false" customHeight="true" outlineLevel="0" collapsed="false">
      <c r="A74" s="36" t="n">
        <v>0.1</v>
      </c>
      <c r="B74" s="47" t="n">
        <f aca="false">1/(1-A74)</f>
        <v>1.11111111111111</v>
      </c>
      <c r="C74" s="35" t="n">
        <f aca="false">$B$67*B74</f>
        <v>111.111111111111</v>
      </c>
    </row>
    <row r="75" customFormat="false" ht="15" hidden="false" customHeight="true" outlineLevel="0" collapsed="false">
      <c r="A75" s="36" t="n">
        <v>0.15</v>
      </c>
      <c r="B75" s="47" t="n">
        <f aca="false">1/(1-A75)</f>
        <v>1.17647058823529</v>
      </c>
      <c r="C75" s="35" t="n">
        <f aca="false">$B$67*B75</f>
        <v>117.647058823529</v>
      </c>
    </row>
    <row r="76" customFormat="false" ht="15" hidden="false" customHeight="true" outlineLevel="0" collapsed="false">
      <c r="A76" s="36" t="n">
        <v>0.2</v>
      </c>
      <c r="B76" s="47" t="n">
        <f aca="false">1/(1-A76)</f>
        <v>1.25</v>
      </c>
      <c r="C76" s="35" t="n">
        <f aca="false">$B$67*B76</f>
        <v>125</v>
      </c>
    </row>
    <row r="77" customFormat="false" ht="15" hidden="false" customHeight="true" outlineLevel="0" collapsed="false">
      <c r="A77" s="36" t="n">
        <v>0.25</v>
      </c>
      <c r="B77" s="47" t="n">
        <f aca="false">1/(1-A77)</f>
        <v>1.33333333333333</v>
      </c>
      <c r="C77" s="35" t="n">
        <f aca="false">$B$67*B77</f>
        <v>133.333333333333</v>
      </c>
    </row>
    <row r="78" customFormat="false" ht="15" hidden="false" customHeight="true" outlineLevel="0" collapsed="false">
      <c r="A78" s="36" t="n">
        <v>0.3</v>
      </c>
      <c r="B78" s="47" t="n">
        <f aca="false">1/(1-A78)</f>
        <v>1.42857142857143</v>
      </c>
      <c r="C78" s="35" t="n">
        <f aca="false">$B$67*B78</f>
        <v>142.857142857143</v>
      </c>
    </row>
    <row r="79" customFormat="false" ht="15" hidden="false" customHeight="true" outlineLevel="0" collapsed="false">
      <c r="A79" s="36" t="n">
        <v>0.4</v>
      </c>
      <c r="B79" s="47" t="n">
        <f aca="false">1/(1-A79)</f>
        <v>1.66666666666667</v>
      </c>
      <c r="C79" s="35" t="n">
        <f aca="false">$B$67*B79</f>
        <v>166.666666666667</v>
      </c>
    </row>
    <row r="80" customFormat="false" ht="15" hidden="false" customHeight="true" outlineLevel="0" collapsed="false">
      <c r="A80" s="36" t="n">
        <v>0.5</v>
      </c>
      <c r="B80" s="47" t="n">
        <f aca="false">1/(1-A80)</f>
        <v>2</v>
      </c>
      <c r="C80" s="35" t="n">
        <f aca="false">$B$67*B80</f>
        <v>200</v>
      </c>
    </row>
  </sheetData>
  <mergeCells count="2">
    <mergeCell ref="A1:H1"/>
    <mergeCell ref="A65:H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43" t="s">
        <v>28</v>
      </c>
      <c r="B1" s="43" t="s">
        <v>29</v>
      </c>
      <c r="C1" s="43" t="s">
        <v>30</v>
      </c>
      <c r="D1" s="43" t="s">
        <v>31</v>
      </c>
      <c r="E1" s="43" t="s">
        <v>32</v>
      </c>
      <c r="F1" s="1" t="s">
        <v>138</v>
      </c>
      <c r="H1" s="43" t="s">
        <v>35</v>
      </c>
      <c r="I1" s="43" t="s">
        <v>139</v>
      </c>
      <c r="K1" s="43" t="s">
        <v>53</v>
      </c>
      <c r="L1" s="43" t="s">
        <v>139</v>
      </c>
    </row>
    <row r="2" customFormat="false" ht="15" hidden="false" customHeight="true" outlineLevel="0" collapsed="false">
      <c r="A2" s="48" t="s">
        <v>61</v>
      </c>
      <c r="B2" s="1" t="n">
        <f aca="false">COUNTIF(ประวัติการขาย!D4:D203,A2)</f>
        <v>3</v>
      </c>
      <c r="C2" s="1" t="n">
        <f aca="false">SUMIF(ประวัติการขาย!D4:D203,A2,ประวัติการขาย!H4:H203)</f>
        <v>290</v>
      </c>
      <c r="D2" s="1" t="n">
        <f aca="false">SUMIF(ประวัติการขาย!D4:D203,A2,ประวัติการขาย!G4:G203)</f>
        <v>215</v>
      </c>
      <c r="E2" s="1" t="n">
        <f aca="false">C2-D2</f>
        <v>75</v>
      </c>
      <c r="F2" s="1" t="n">
        <f aca="false">IFERROR(E2/C2,0)</f>
        <v>0.258620689655172</v>
      </c>
      <c r="G2" s="1" t="n">
        <f aca="false">B2+ROW()/10000</f>
        <v>3.0002</v>
      </c>
      <c r="H2" s="1" t="s">
        <v>39</v>
      </c>
      <c r="I2" s="1" t="n">
        <f aca="false">COUNTIF(ประวัติการขาย!F4:F203,"iTunes")</f>
        <v>3</v>
      </c>
      <c r="K2" s="1" t="s">
        <v>62</v>
      </c>
      <c r="L2" s="1" t="n">
        <f aca="false">COUNTIF(ประวัติการขาย!E4:E203,"TrueWallet")</f>
        <v>3</v>
      </c>
      <c r="N2" s="1" t="n">
        <f aca="false">E2+ROW()/10000</f>
        <v>75.0002</v>
      </c>
    </row>
    <row r="3" customFormat="false" ht="15" hidden="false" customHeight="true" outlineLevel="0" collapsed="false">
      <c r="A3" s="48" t="s">
        <v>66</v>
      </c>
      <c r="B3" s="1" t="n">
        <f aca="false">COUNTIF(ประวัติการขาย!D4:D203,A3)</f>
        <v>2</v>
      </c>
      <c r="C3" s="1" t="n">
        <f aca="false">SUMIF(ประวัติการขาย!D4:D203,A3,ประวัติการขาย!H4:H203)</f>
        <v>255</v>
      </c>
      <c r="D3" s="1" t="n">
        <f aca="false">SUMIF(ประวัติการขาย!D4:D203,A3,ประวัติการขาย!G4:G203)</f>
        <v>190</v>
      </c>
      <c r="E3" s="1" t="n">
        <f aca="false">C3-D3</f>
        <v>65</v>
      </c>
      <c r="F3" s="1" t="n">
        <f aca="false">IFERROR(E3/C3,0)</f>
        <v>0.254901960784314</v>
      </c>
      <c r="G3" s="1" t="n">
        <f aca="false">B3+ROW()/10000</f>
        <v>2.0003</v>
      </c>
      <c r="H3" s="1" t="s">
        <v>40</v>
      </c>
      <c r="I3" s="1" t="n">
        <f aca="false">COUNTIF(ประวัติการขาย!F4:F203,"Razer")</f>
        <v>3</v>
      </c>
      <c r="K3" s="1" t="s">
        <v>67</v>
      </c>
      <c r="L3" s="1" t="n">
        <f aca="false">COUNTIF(ประวัติการขาย!E4:E203,"SCB")</f>
        <v>1</v>
      </c>
      <c r="N3" s="1" t="n">
        <f aca="false">E3+ROW()/10000</f>
        <v>65.0003</v>
      </c>
    </row>
    <row r="4" customFormat="false" ht="15" hidden="false" customHeight="true" outlineLevel="0" collapsed="false">
      <c r="A4" s="48" t="s">
        <v>70</v>
      </c>
      <c r="B4" s="1" t="n">
        <f aca="false">COUNTIF(ประวัติการขาย!D4:D203,A4)</f>
        <v>3</v>
      </c>
      <c r="C4" s="1" t="n">
        <f aca="false">SUMIF(ประวัติการขาย!D4:D203,A4,ประวัติการขาย!H4:H203)</f>
        <v>1520</v>
      </c>
      <c r="D4" s="1" t="n">
        <f aca="false">SUMIF(ประวัติการขาย!D4:D203,A4,ประวัติการขาย!G4:G203)</f>
        <v>1280</v>
      </c>
      <c r="E4" s="1" t="n">
        <f aca="false">C4-D4</f>
        <v>240</v>
      </c>
      <c r="F4" s="1" t="n">
        <f aca="false">IFERROR(E4/C4,0)</f>
        <v>0.157894736842105</v>
      </c>
      <c r="G4" s="1" t="n">
        <f aca="false">B4+ROW()/10000</f>
        <v>3.0004</v>
      </c>
      <c r="H4" s="1" t="s">
        <v>41</v>
      </c>
      <c r="I4" s="1" t="n">
        <f aca="false">COUNTIF(ประวัติการขาย!F4:F203,"Mycard")</f>
        <v>1</v>
      </c>
      <c r="K4" s="1" t="s">
        <v>76</v>
      </c>
      <c r="L4" s="1" t="n">
        <f aca="false">COUNTIF(ประวัติการขาย!E4:E203,"KBank")</f>
        <v>1</v>
      </c>
      <c r="N4" s="1" t="n">
        <f aca="false">E4+ROW()/10000</f>
        <v>240.0004</v>
      </c>
    </row>
    <row r="5" customFormat="false" ht="15" hidden="false" customHeight="true" outlineLevel="0" collapsed="false">
      <c r="A5" s="48" t="s">
        <v>75</v>
      </c>
      <c r="B5" s="1" t="n">
        <f aca="false">COUNTIF(ประวัติการขาย!D4:D203,A5)</f>
        <v>1</v>
      </c>
      <c r="C5" s="1" t="n">
        <f aca="false">SUMIF(ประวัติการขาย!D4:D203,A5,ประวัติการขาย!H4:H203)</f>
        <v>230</v>
      </c>
      <c r="D5" s="1" t="n">
        <f aca="false">SUMIF(ประวัติการขาย!D4:D203,A5,ประวัติการขาย!G4:G203)</f>
        <v>180</v>
      </c>
      <c r="E5" s="1" t="n">
        <f aca="false">C5-D5</f>
        <v>50</v>
      </c>
      <c r="F5" s="1" t="n">
        <f aca="false">IFERROR(E5/C5,0)</f>
        <v>0.217391304347826</v>
      </c>
      <c r="G5" s="1" t="n">
        <f aca="false">B5+ROW()/10000</f>
        <v>1.0005</v>
      </c>
      <c r="H5" s="1" t="s">
        <v>42</v>
      </c>
      <c r="I5" s="1" t="n">
        <f aca="false">COUNTIF(ประวัติการขาย!F4:F203,"USDT/PHP")</f>
        <v>3</v>
      </c>
      <c r="K5" s="1" t="s">
        <v>140</v>
      </c>
      <c r="L5" s="1" t="n">
        <f aca="false">COUNTIF(ประวัติการขาย!E4:E203,"Krungthai")</f>
        <v>0</v>
      </c>
      <c r="N5" s="1" t="n">
        <f aca="false">E5+ROW()/10000</f>
        <v>50.0005</v>
      </c>
    </row>
    <row r="6" customFormat="false" ht="15" hidden="false" customHeight="true" outlineLevel="0" collapsed="false">
      <c r="A6" s="48" t="s">
        <v>79</v>
      </c>
      <c r="B6" s="1" t="n">
        <f aca="false">COUNTIF(ประวัติการขาย!D4:D203,A6)</f>
        <v>1</v>
      </c>
      <c r="C6" s="1" t="n">
        <f aca="false">SUMIF(ประวัติการขาย!D4:D203,A6,ประวัติการขาย!H4:H203)</f>
        <v>260</v>
      </c>
      <c r="D6" s="1" t="n">
        <f aca="false">SUMIF(ประวัติการขาย!D4:D203,A6,ประวัติการขาย!G4:G203)</f>
        <v>210</v>
      </c>
      <c r="E6" s="1" t="n">
        <f aca="false">C6-D6</f>
        <v>50</v>
      </c>
      <c r="F6" s="1" t="n">
        <f aca="false">IFERROR(E6/C6,0)</f>
        <v>0.192307692307692</v>
      </c>
      <c r="G6" s="1" t="n">
        <f aca="false">B6+ROW()/10000</f>
        <v>1.0006</v>
      </c>
      <c r="H6" s="43" t="s">
        <v>141</v>
      </c>
      <c r="I6" s="1" t="n">
        <f aca="false">COUNTIF(ประวัติการขาย!F4:F203,"เติมตรง")</f>
        <v>0</v>
      </c>
      <c r="K6" s="1" t="s">
        <v>80</v>
      </c>
      <c r="L6" s="1" t="n">
        <f aca="false">COUNTIF(ประวัติการขาย!E4:E203,"BBL")</f>
        <v>1</v>
      </c>
      <c r="N6" s="1" t="n">
        <f aca="false">E6+ROW()/10000</f>
        <v>50.0006</v>
      </c>
    </row>
    <row r="7" customFormat="false" ht="15" hidden="false" customHeight="true" outlineLevel="0" collapsed="false">
      <c r="A7" s="48" t="s">
        <v>142</v>
      </c>
      <c r="B7" s="1" t="n">
        <f aca="false">COUNTIF(ประวัติการขาย!D4:D203,A7)</f>
        <v>0</v>
      </c>
      <c r="C7" s="1" t="n">
        <f aca="false">SUMIF(ประวัติการขาย!D4:D203,A7,ประวัติการขาย!H4:H203)</f>
        <v>0</v>
      </c>
      <c r="D7" s="1" t="n">
        <f aca="false">SUMIF(ประวัติการขาย!D4:D203,A7,ประวัติการขาย!G4:G203)</f>
        <v>0</v>
      </c>
      <c r="E7" s="1" t="n">
        <f aca="false">C7-D7</f>
        <v>0</v>
      </c>
      <c r="F7" s="1" t="n">
        <f aca="false">IFERROR(E7/C7,0)</f>
        <v>0</v>
      </c>
      <c r="G7" s="1" t="n">
        <f aca="false">B7+ROW()/10000</f>
        <v>0.0007</v>
      </c>
      <c r="K7" s="1" t="s">
        <v>86</v>
      </c>
      <c r="L7" s="1" t="n">
        <f aca="false">COUNTIF(ประวัติการขาย!E4:E203,"PromptPay")</f>
        <v>1</v>
      </c>
      <c r="N7" s="1" t="n">
        <f aca="false">E7+ROW()/10000</f>
        <v>0.0007</v>
      </c>
    </row>
    <row r="8" customFormat="false" ht="15" hidden="false" customHeight="true" outlineLevel="0" collapsed="false">
      <c r="A8" s="48" t="s">
        <v>143</v>
      </c>
      <c r="B8" s="1" t="n">
        <f aca="false">COUNTIF(ประวัติการขาย!D4:D203,A8)</f>
        <v>0</v>
      </c>
      <c r="C8" s="1" t="n">
        <f aca="false">SUMIF(ประวัติการขาย!D4:D203,A8,ประวัติการขาย!H4:H203)</f>
        <v>0</v>
      </c>
      <c r="D8" s="1" t="n">
        <f aca="false">SUMIF(ประวัติการขาย!D4:D203,A8,ประวัติการขาย!G4:G203)</f>
        <v>0</v>
      </c>
      <c r="E8" s="1" t="n">
        <f aca="false">C8-D8</f>
        <v>0</v>
      </c>
      <c r="F8" s="1" t="n">
        <f aca="false">IFERROR(E8/C8,0)</f>
        <v>0</v>
      </c>
      <c r="G8" s="1" t="n">
        <f aca="false">B8+ROW()/10000</f>
        <v>0.0008</v>
      </c>
      <c r="K8" s="1" t="s">
        <v>71</v>
      </c>
      <c r="L8" s="1" t="n">
        <f aca="false">COUNTIF(ประวัติการขาย!E4:E203,"USDT")</f>
        <v>3</v>
      </c>
      <c r="N8" s="1" t="n">
        <f aca="false">E8+ROW()/10000</f>
        <v>0.0008</v>
      </c>
    </row>
    <row r="9" customFormat="false" ht="15" hidden="false" customHeight="true" outlineLevel="0" collapsed="false">
      <c r="A9" s="48" t="s">
        <v>144</v>
      </c>
      <c r="B9" s="1" t="n">
        <f aca="false">COUNTIF(ประวัติการขาย!D4:D203,A9)</f>
        <v>0</v>
      </c>
      <c r="C9" s="1" t="n">
        <f aca="false">SUMIF(ประวัติการขาย!D4:D203,A9,ประวัติการขาย!H4:H203)</f>
        <v>0</v>
      </c>
      <c r="D9" s="1" t="n">
        <f aca="false">SUMIF(ประวัติการขาย!D4:D203,A9,ประวัติการขาย!G4:G203)</f>
        <v>0</v>
      </c>
      <c r="E9" s="1" t="n">
        <f aca="false">C9-D9</f>
        <v>0</v>
      </c>
      <c r="F9" s="1" t="n">
        <f aca="false">IFERROR(E9/C9,0)</f>
        <v>0</v>
      </c>
      <c r="G9" s="1" t="n">
        <f aca="false">B9+ROW()/10000</f>
        <v>0.0009</v>
      </c>
      <c r="K9" s="43" t="s">
        <v>145</v>
      </c>
      <c r="L9" s="1" t="n">
        <f aca="false">COUNTIF(ประวัติการขาย!E4:E203,"เงินสด")</f>
        <v>0</v>
      </c>
      <c r="N9" s="1" t="n">
        <f aca="false">E9+ROW()/10000</f>
        <v>0.0009</v>
      </c>
    </row>
    <row r="10" customFormat="false" ht="15" hidden="false" customHeight="true" outlineLevel="0" collapsed="false">
      <c r="A10" s="48" t="s">
        <v>146</v>
      </c>
      <c r="B10" s="1" t="n">
        <f aca="false">COUNTIF(ประวัติการขาย!D4:D203,A10)</f>
        <v>0</v>
      </c>
      <c r="C10" s="1" t="n">
        <f aca="false">SUMIF(ประวัติการขาย!D4:D203,A10,ประวัติการขาย!H4:H203)</f>
        <v>0</v>
      </c>
      <c r="D10" s="1" t="n">
        <f aca="false">SUMIF(ประวัติการขาย!D4:D203,A10,ประวัติการขาย!G4:G203)</f>
        <v>0</v>
      </c>
      <c r="E10" s="1" t="n">
        <f aca="false">C10-D10</f>
        <v>0</v>
      </c>
      <c r="F10" s="1" t="n">
        <f aca="false">IFERROR(E10/C10,0)</f>
        <v>0</v>
      </c>
      <c r="G10" s="1" t="n">
        <f aca="false">B10+ROW()/10000</f>
        <v>0.001</v>
      </c>
      <c r="K10" s="43" t="s">
        <v>147</v>
      </c>
      <c r="L10" s="1" t="n">
        <f aca="false">COUNTIF(ประวัติการขาย!E4:E203,"อื่นๆ")</f>
        <v>0</v>
      </c>
      <c r="N10" s="1" t="n">
        <f aca="false">E10+ROW()/10000</f>
        <v>0.001</v>
      </c>
    </row>
    <row r="11" customFormat="false" ht="15" hidden="false" customHeight="true" outlineLevel="0" collapsed="false">
      <c r="A11" s="48" t="s">
        <v>148</v>
      </c>
      <c r="B11" s="1" t="n">
        <f aca="false">COUNTIF(ประวัติการขาย!D4:D203,A11)</f>
        <v>0</v>
      </c>
      <c r="C11" s="1" t="n">
        <f aca="false">SUMIF(ประวัติการขาย!D4:D203,A11,ประวัติการขาย!H4:H203)</f>
        <v>0</v>
      </c>
      <c r="D11" s="1" t="n">
        <f aca="false">SUMIF(ประวัติการขาย!D4:D203,A11,ประวัติการขาย!G4:G203)</f>
        <v>0</v>
      </c>
      <c r="E11" s="1" t="n">
        <f aca="false">C11-D11</f>
        <v>0</v>
      </c>
      <c r="F11" s="1" t="n">
        <f aca="false">IFERROR(E11/C11,0)</f>
        <v>0</v>
      </c>
      <c r="G11" s="1" t="n">
        <f aca="false">B11+ROW()/10000</f>
        <v>0.0011</v>
      </c>
      <c r="N11" s="1" t="n">
        <f aca="false">E11+ROW()/10000</f>
        <v>0.0011</v>
      </c>
    </row>
    <row r="12" customFormat="false" ht="15" hidden="false" customHeight="true" outlineLevel="0" collapsed="false">
      <c r="A12" s="48" t="s">
        <v>149</v>
      </c>
      <c r="B12" s="1" t="n">
        <f aca="false">COUNTIF(ประวัติการขาย!D4:D203,A12)</f>
        <v>0</v>
      </c>
      <c r="C12" s="1" t="n">
        <f aca="false">SUMIF(ประวัติการขาย!D4:D203,A12,ประวัติการขาย!H4:H203)</f>
        <v>0</v>
      </c>
      <c r="D12" s="1" t="n">
        <f aca="false">SUMIF(ประวัติการขาย!D4:D203,A12,ประวัติการขาย!G4:G203)</f>
        <v>0</v>
      </c>
      <c r="E12" s="1" t="n">
        <f aca="false">C12-D12</f>
        <v>0</v>
      </c>
      <c r="F12" s="1" t="n">
        <f aca="false">IFERROR(E12/C12,0)</f>
        <v>0</v>
      </c>
      <c r="G12" s="1" t="n">
        <f aca="false">B12+ROW()/10000</f>
        <v>0.0012</v>
      </c>
      <c r="N12" s="1" t="n">
        <f aca="false">E12+ROW()/10000</f>
        <v>0.0012</v>
      </c>
    </row>
    <row r="13" customFormat="false" ht="15" hidden="false" customHeight="true" outlineLevel="0" collapsed="false">
      <c r="A13" s="48" t="s">
        <v>150</v>
      </c>
      <c r="B13" s="1" t="n">
        <f aca="false">COUNTIF(ประวัติการขาย!D4:D203,A13)</f>
        <v>0</v>
      </c>
      <c r="C13" s="1" t="n">
        <f aca="false">SUMIF(ประวัติการขาย!D4:D203,A13,ประวัติการขาย!H4:H203)</f>
        <v>0</v>
      </c>
      <c r="D13" s="1" t="n">
        <f aca="false">SUMIF(ประวัติการขาย!D4:D203,A13,ประวัติการขาย!G4:G203)</f>
        <v>0</v>
      </c>
      <c r="E13" s="1" t="n">
        <f aca="false">C13-D13</f>
        <v>0</v>
      </c>
      <c r="F13" s="1" t="n">
        <f aca="false">IFERROR(E13/C13,0)</f>
        <v>0</v>
      </c>
      <c r="G13" s="1" t="n">
        <f aca="false">B13+ROW()/10000</f>
        <v>0.0013</v>
      </c>
      <c r="N13" s="1" t="n">
        <f aca="false">E13+ROW()/10000</f>
        <v>0.0013</v>
      </c>
    </row>
    <row r="14" customFormat="false" ht="15" hidden="false" customHeight="true" outlineLevel="0" collapsed="false">
      <c r="A14" s="48" t="s">
        <v>151</v>
      </c>
      <c r="B14" s="1" t="n">
        <f aca="false">COUNTIF(ประวัติการขาย!D4:D203,A14)</f>
        <v>0</v>
      </c>
      <c r="C14" s="1" t="n">
        <f aca="false">SUMIF(ประวัติการขาย!D4:D203,A14,ประวัติการขาย!H4:H203)</f>
        <v>0</v>
      </c>
      <c r="D14" s="1" t="n">
        <f aca="false">SUMIF(ประวัติการขาย!D4:D203,A14,ประวัติการขาย!G4:G203)</f>
        <v>0</v>
      </c>
      <c r="E14" s="1" t="n">
        <f aca="false">C14-D14</f>
        <v>0</v>
      </c>
      <c r="F14" s="1" t="n">
        <f aca="false">IFERROR(E14/C14,0)</f>
        <v>0</v>
      </c>
      <c r="G14" s="1" t="n">
        <f aca="false">B14+ROW()/10000</f>
        <v>0.0014</v>
      </c>
      <c r="N14" s="1" t="n">
        <f aca="false">E14+ROW()/10000</f>
        <v>0.0014</v>
      </c>
    </row>
    <row r="15" customFormat="false" ht="15" hidden="false" customHeight="true" outlineLevel="0" collapsed="false">
      <c r="A15" s="48" t="s">
        <v>152</v>
      </c>
      <c r="B15" s="1" t="n">
        <f aca="false">COUNTIF(ประวัติการขาย!D4:D203,A15)</f>
        <v>0</v>
      </c>
      <c r="C15" s="1" t="n">
        <f aca="false">SUMIF(ประวัติการขาย!D4:D203,A15,ประวัติการขาย!H4:H203)</f>
        <v>0</v>
      </c>
      <c r="D15" s="1" t="n">
        <f aca="false">SUMIF(ประวัติการขาย!D4:D203,A15,ประวัติการขาย!G4:G203)</f>
        <v>0</v>
      </c>
      <c r="E15" s="1" t="n">
        <f aca="false">C15-D15</f>
        <v>0</v>
      </c>
      <c r="F15" s="1" t="n">
        <f aca="false">IFERROR(E15/C15,0)</f>
        <v>0</v>
      </c>
      <c r="G15" s="1" t="n">
        <f aca="false">B15+ROW()/10000</f>
        <v>0.0015</v>
      </c>
      <c r="N15" s="1" t="n">
        <f aca="false">E15+ROW()/10000</f>
        <v>0.0015</v>
      </c>
    </row>
    <row r="16" customFormat="false" ht="15" hidden="false" customHeight="true" outlineLevel="0" collapsed="false">
      <c r="A16" s="48" t="s">
        <v>153</v>
      </c>
      <c r="B16" s="1" t="n">
        <f aca="false">COUNTIF(ประวัติการขาย!D4:D203,A16)</f>
        <v>0</v>
      </c>
      <c r="C16" s="1" t="n">
        <f aca="false">SUMIF(ประวัติการขาย!D4:D203,A16,ประวัติการขาย!H4:H203)</f>
        <v>0</v>
      </c>
      <c r="D16" s="1" t="n">
        <f aca="false">SUMIF(ประวัติการขาย!D4:D203,A16,ประวัติการขาย!G4:G203)</f>
        <v>0</v>
      </c>
      <c r="E16" s="1" t="n">
        <f aca="false">C16-D16</f>
        <v>0</v>
      </c>
      <c r="F16" s="1" t="n">
        <f aca="false">IFERROR(E16/C16,0)</f>
        <v>0</v>
      </c>
      <c r="G16" s="1" t="n">
        <f aca="false">B16+ROW()/10000</f>
        <v>0.0016</v>
      </c>
      <c r="N16" s="1" t="n">
        <f aca="false">E16+ROW()/10000</f>
        <v>0.0016</v>
      </c>
    </row>
    <row r="17" customFormat="false" ht="15" hidden="false" customHeight="true" outlineLevel="0" collapsed="false">
      <c r="A17" s="48" t="s">
        <v>154</v>
      </c>
      <c r="B17" s="1" t="n">
        <f aca="false">COUNTIF(ประวัติการขาย!D4:D203,A17)</f>
        <v>0</v>
      </c>
      <c r="C17" s="1" t="n">
        <f aca="false">SUMIF(ประวัติการขาย!D4:D203,A17,ประวัติการขาย!H4:H203)</f>
        <v>0</v>
      </c>
      <c r="D17" s="1" t="n">
        <f aca="false">SUMIF(ประวัติการขาย!D4:D203,A17,ประวัติการขาย!G4:G203)</f>
        <v>0</v>
      </c>
      <c r="E17" s="1" t="n">
        <f aca="false">C17-D17</f>
        <v>0</v>
      </c>
      <c r="F17" s="1" t="n">
        <f aca="false">IFERROR(E17/C17,0)</f>
        <v>0</v>
      </c>
      <c r="G17" s="1" t="n">
        <f aca="false">B17+ROW()/10000</f>
        <v>0.0017</v>
      </c>
      <c r="N17" s="1" t="n">
        <f aca="false">E17+ROW()/10000</f>
        <v>0.0017</v>
      </c>
    </row>
    <row r="18" customFormat="false" ht="15" hidden="false" customHeight="true" outlineLevel="0" collapsed="false">
      <c r="A18" s="48" t="s">
        <v>41</v>
      </c>
      <c r="B18" s="1" t="n">
        <f aca="false">COUNTIF(ประวัติการขาย!D4:D203,A18)</f>
        <v>0</v>
      </c>
      <c r="C18" s="1" t="n">
        <f aca="false">SUMIF(ประวัติการขาย!D4:D203,A18,ประวัติการขาย!H4:H203)</f>
        <v>0</v>
      </c>
      <c r="D18" s="1" t="n">
        <f aca="false">SUMIF(ประวัติการขาย!D4:D203,A18,ประวัติการขาย!G4:G203)</f>
        <v>0</v>
      </c>
      <c r="E18" s="1" t="n">
        <f aca="false">C18-D18</f>
        <v>0</v>
      </c>
      <c r="F18" s="1" t="n">
        <f aca="false">IFERROR(E18/C18,0)</f>
        <v>0</v>
      </c>
      <c r="G18" s="1" t="n">
        <f aca="false">B18+ROW()/10000</f>
        <v>0.0018</v>
      </c>
      <c r="N18" s="1" t="n">
        <f aca="false">E18+ROW()/10000</f>
        <v>0.0018</v>
      </c>
    </row>
    <row r="19" customFormat="false" ht="15" hidden="false" customHeight="true" outlineLevel="0" collapsed="false">
      <c r="A19" s="48" t="s">
        <v>155</v>
      </c>
      <c r="B19" s="1" t="n">
        <f aca="false">COUNTIF(ประวัติการขาย!D4:D203,A19)</f>
        <v>0</v>
      </c>
      <c r="C19" s="1" t="n">
        <f aca="false">SUMIF(ประวัติการขาย!D4:D203,A19,ประวัติการขาย!H4:H203)</f>
        <v>0</v>
      </c>
      <c r="D19" s="1" t="n">
        <f aca="false">SUMIF(ประวัติการขาย!D4:D203,A19,ประวัติการขาย!G4:G203)</f>
        <v>0</v>
      </c>
      <c r="E19" s="1" t="n">
        <f aca="false">C19-D19</f>
        <v>0</v>
      </c>
      <c r="F19" s="1" t="n">
        <f aca="false">IFERROR(E19/C19,0)</f>
        <v>0</v>
      </c>
      <c r="G19" s="1" t="n">
        <f aca="false">B19+ROW()/10000</f>
        <v>0.0019</v>
      </c>
      <c r="N19" s="1" t="n">
        <f aca="false">E19+ROW()/10000</f>
        <v>0.0019</v>
      </c>
    </row>
    <row r="20" customFormat="false" ht="15" hidden="false" customHeight="true" outlineLevel="0" collapsed="false">
      <c r="A20" s="48" t="s">
        <v>156</v>
      </c>
      <c r="B20" s="1" t="n">
        <f aca="false">COUNTIF(ประวัติการขาย!D4:D203,A20)</f>
        <v>0</v>
      </c>
      <c r="C20" s="1" t="n">
        <f aca="false">SUMIF(ประวัติการขาย!D4:D203,A20,ประวัติการขาย!H4:H203)</f>
        <v>0</v>
      </c>
      <c r="D20" s="1" t="n">
        <f aca="false">SUMIF(ประวัติการขาย!D4:D203,A20,ประวัติการขาย!G4:G203)</f>
        <v>0</v>
      </c>
      <c r="E20" s="1" t="n">
        <f aca="false">C20-D20</f>
        <v>0</v>
      </c>
      <c r="F20" s="1" t="n">
        <f aca="false">IFERROR(E20/C20,0)</f>
        <v>0</v>
      </c>
      <c r="G20" s="1" t="n">
        <f aca="false">B20+ROW()/10000</f>
        <v>0.002</v>
      </c>
      <c r="N20" s="1" t="n">
        <f aca="false">E20+ROW()/10000</f>
        <v>0.002</v>
      </c>
    </row>
    <row r="21" customFormat="false" ht="15" hidden="false" customHeight="true" outlineLevel="0" collapsed="false">
      <c r="A21" s="48" t="s">
        <v>157</v>
      </c>
      <c r="B21" s="1" t="n">
        <f aca="false">COUNTIF(ประวัติการขาย!D4:D203,A21)</f>
        <v>0</v>
      </c>
      <c r="C21" s="1" t="n">
        <f aca="false">SUMIF(ประวัติการขาย!D4:D203,A21,ประวัติการขาย!H4:H203)</f>
        <v>0</v>
      </c>
      <c r="D21" s="1" t="n">
        <f aca="false">SUMIF(ประวัติการขาย!D4:D203,A21,ประวัติการขาย!G4:G203)</f>
        <v>0</v>
      </c>
      <c r="E21" s="1" t="n">
        <f aca="false">C21-D21</f>
        <v>0</v>
      </c>
      <c r="F21" s="1" t="n">
        <f aca="false">IFERROR(E21/C21,0)</f>
        <v>0</v>
      </c>
      <c r="G21" s="1" t="n">
        <f aca="false">B21+ROW()/10000</f>
        <v>0.0021</v>
      </c>
      <c r="N21" s="1" t="n">
        <f aca="false">E21+ROW()/10000</f>
        <v>0.0021</v>
      </c>
    </row>
    <row r="22" customFormat="false" ht="15" hidden="false" customHeight="true" outlineLevel="0" collapsed="false">
      <c r="B22" s="1" t="n">
        <f aca="false">IF(A22="",0,COUNTIF(ประวัติการขาย!D4:D203,A22))</f>
        <v>0</v>
      </c>
      <c r="C22" s="1" t="n">
        <f aca="false">IF(A22="",0,SUMIF(ประวัติการขาย!D4:D203,A22,ประวัติการขาย!H4:H203))</f>
        <v>0</v>
      </c>
      <c r="D22" s="1" t="n">
        <f aca="false">IF(A22="",0,SUMIF(ประวัติการขาย!D4:D203,A22,ประวัติการขาย!G4:G203))</f>
        <v>0</v>
      </c>
      <c r="E22" s="1" t="n">
        <f aca="false">IF(A22="",0,C22-D22)</f>
        <v>0</v>
      </c>
      <c r="F22" s="1" t="n">
        <f aca="false">IFERROR(E22/C22,0)</f>
        <v>0</v>
      </c>
      <c r="G22" s="1" t="n">
        <f aca="false">B22+ROW()/10000</f>
        <v>0.0022</v>
      </c>
      <c r="N22" s="1" t="n">
        <f aca="false">E22+ROW()/10000</f>
        <v>0.0022</v>
      </c>
    </row>
    <row r="23" customFormat="false" ht="15" hidden="false" customHeight="true" outlineLevel="0" collapsed="false">
      <c r="B23" s="1" t="n">
        <f aca="false">IF(A23="",0,COUNTIF(ประวัติการขาย!D4:D203,A23))</f>
        <v>0</v>
      </c>
      <c r="C23" s="1" t="n">
        <f aca="false">IF(A23="",0,SUMIF(ประวัติการขาย!D4:D203,A23,ประวัติการขาย!H4:H203))</f>
        <v>0</v>
      </c>
      <c r="D23" s="1" t="n">
        <f aca="false">IF(A23="",0,SUMIF(ประวัติการขาย!D4:D203,A23,ประวัติการขาย!G4:G203))</f>
        <v>0</v>
      </c>
      <c r="E23" s="1" t="n">
        <f aca="false">IF(A23="",0,C23-D23)</f>
        <v>0</v>
      </c>
      <c r="F23" s="1" t="n">
        <f aca="false">IFERROR(E23/C23,0)</f>
        <v>0</v>
      </c>
      <c r="G23" s="1" t="n">
        <f aca="false">B23+ROW()/10000</f>
        <v>0.0023</v>
      </c>
      <c r="N23" s="1" t="n">
        <f aca="false">E23+ROW()/10000</f>
        <v>0.0023</v>
      </c>
    </row>
    <row r="24" customFormat="false" ht="15" hidden="false" customHeight="true" outlineLevel="0" collapsed="false">
      <c r="B24" s="1" t="n">
        <f aca="false">IF(A24="",0,COUNTIF(ประวัติการขาย!D4:D203,A24))</f>
        <v>0</v>
      </c>
      <c r="C24" s="1" t="n">
        <f aca="false">IF(A24="",0,SUMIF(ประวัติการขาย!D4:D203,A24,ประวัติการขาย!H4:H203))</f>
        <v>0</v>
      </c>
      <c r="D24" s="1" t="n">
        <f aca="false">IF(A24="",0,SUMIF(ประวัติการขาย!D4:D203,A24,ประวัติการขาย!G4:G203))</f>
        <v>0</v>
      </c>
      <c r="E24" s="1" t="n">
        <f aca="false">IF(A24="",0,C24-D24)</f>
        <v>0</v>
      </c>
      <c r="F24" s="1" t="n">
        <f aca="false">IFERROR(E24/C24,0)</f>
        <v>0</v>
      </c>
      <c r="G24" s="1" t="n">
        <f aca="false">B24+ROW()/10000</f>
        <v>0.0024</v>
      </c>
      <c r="N24" s="1" t="n">
        <f aca="false">E24+ROW()/10000</f>
        <v>0.0024</v>
      </c>
    </row>
    <row r="25" customFormat="false" ht="15" hidden="false" customHeight="true" outlineLevel="0" collapsed="false">
      <c r="B25" s="1" t="n">
        <f aca="false">IF(A25="",0,COUNTIF(ประวัติการขาย!D4:D203,A25))</f>
        <v>0</v>
      </c>
      <c r="C25" s="1" t="n">
        <f aca="false">IF(A25="",0,SUMIF(ประวัติการขาย!D4:D203,A25,ประวัติการขาย!H4:H203))</f>
        <v>0</v>
      </c>
      <c r="D25" s="1" t="n">
        <f aca="false">IF(A25="",0,SUMIF(ประวัติการขาย!D4:D203,A25,ประวัติการขาย!G4:G203))</f>
        <v>0</v>
      </c>
      <c r="E25" s="1" t="n">
        <f aca="false">IF(A25="",0,C25-D25)</f>
        <v>0</v>
      </c>
      <c r="F25" s="1" t="n">
        <f aca="false">IFERROR(E25/C25,0)</f>
        <v>0</v>
      </c>
      <c r="G25" s="1" t="n">
        <f aca="false">B25+ROW()/10000</f>
        <v>0.0025</v>
      </c>
      <c r="N25" s="1" t="n">
        <f aca="false">E25+ROW()/10000</f>
        <v>0.0025</v>
      </c>
    </row>
    <row r="26" customFormat="false" ht="15" hidden="false" customHeight="true" outlineLevel="0" collapsed="false">
      <c r="B26" s="1" t="n">
        <f aca="false">IF(A26="",0,COUNTIF(ประวัติการขาย!D4:D203,A26))</f>
        <v>0</v>
      </c>
      <c r="C26" s="1" t="n">
        <f aca="false">IF(A26="",0,SUMIF(ประวัติการขาย!D4:D203,A26,ประวัติการขาย!H4:H203))</f>
        <v>0</v>
      </c>
      <c r="D26" s="1" t="n">
        <f aca="false">IF(A26="",0,SUMIF(ประวัติการขาย!D4:D203,A26,ประวัติการขาย!G4:G203))</f>
        <v>0</v>
      </c>
      <c r="E26" s="1" t="n">
        <f aca="false">IF(A26="",0,C26-D26)</f>
        <v>0</v>
      </c>
      <c r="F26" s="1" t="n">
        <f aca="false">IFERROR(E26/C26,0)</f>
        <v>0</v>
      </c>
      <c r="G26" s="1" t="n">
        <f aca="false">B26+ROW()/10000</f>
        <v>0.0026</v>
      </c>
      <c r="N26" s="1" t="n">
        <f aca="false">E26+ROW()/10000</f>
        <v>0.0026</v>
      </c>
    </row>
    <row r="27" customFormat="false" ht="15" hidden="false" customHeight="true" outlineLevel="0" collapsed="false">
      <c r="B27" s="1" t="n">
        <f aca="false">IF(A27="",0,COUNTIF(ประวัติการขาย!D4:D203,A27))</f>
        <v>0</v>
      </c>
      <c r="C27" s="1" t="n">
        <f aca="false">IF(A27="",0,SUMIF(ประวัติการขาย!D4:D203,A27,ประวัติการขาย!H4:H203))</f>
        <v>0</v>
      </c>
      <c r="D27" s="1" t="n">
        <f aca="false">IF(A27="",0,SUMIF(ประวัติการขาย!D4:D203,A27,ประวัติการขาย!G4:G203))</f>
        <v>0</v>
      </c>
      <c r="E27" s="1" t="n">
        <f aca="false">IF(A27="",0,C27-D27)</f>
        <v>0</v>
      </c>
      <c r="F27" s="1" t="n">
        <f aca="false">IFERROR(E27/C27,0)</f>
        <v>0</v>
      </c>
      <c r="G27" s="1" t="n">
        <f aca="false">B27+ROW()/10000</f>
        <v>0.0027</v>
      </c>
      <c r="N27" s="1" t="n">
        <f aca="false">E27+ROW()/10000</f>
        <v>0.0027</v>
      </c>
    </row>
    <row r="28" customFormat="false" ht="15" hidden="false" customHeight="true" outlineLevel="0" collapsed="false">
      <c r="B28" s="1" t="n">
        <f aca="false">IF(A28="",0,COUNTIF(ประวัติการขาย!D4:D203,A28))</f>
        <v>0</v>
      </c>
      <c r="C28" s="1" t="n">
        <f aca="false">IF(A28="",0,SUMIF(ประวัติการขาย!D4:D203,A28,ประวัติการขาย!H4:H203))</f>
        <v>0</v>
      </c>
      <c r="D28" s="1" t="n">
        <f aca="false">IF(A28="",0,SUMIF(ประวัติการขาย!D4:D203,A28,ประวัติการขาย!G4:G203))</f>
        <v>0</v>
      </c>
      <c r="E28" s="1" t="n">
        <f aca="false">IF(A28="",0,C28-D28)</f>
        <v>0</v>
      </c>
      <c r="F28" s="1" t="n">
        <f aca="false">IFERROR(E28/C28,0)</f>
        <v>0</v>
      </c>
      <c r="G28" s="1" t="n">
        <f aca="false">B28+ROW()/10000</f>
        <v>0.0028</v>
      </c>
      <c r="N28" s="1" t="n">
        <f aca="false">E28+ROW()/10000</f>
        <v>0.0028</v>
      </c>
    </row>
    <row r="29" customFormat="false" ht="15" hidden="false" customHeight="true" outlineLevel="0" collapsed="false">
      <c r="B29" s="1" t="n">
        <f aca="false">IF(A29="",0,COUNTIF(ประวัติการขาย!D4:D203,A29))</f>
        <v>0</v>
      </c>
      <c r="C29" s="1" t="n">
        <f aca="false">IF(A29="",0,SUMIF(ประวัติการขาย!D4:D203,A29,ประวัติการขาย!H4:H203))</f>
        <v>0</v>
      </c>
      <c r="D29" s="1" t="n">
        <f aca="false">IF(A29="",0,SUMIF(ประวัติการขาย!D4:D203,A29,ประวัติการขาย!G4:G203))</f>
        <v>0</v>
      </c>
      <c r="E29" s="1" t="n">
        <f aca="false">IF(A29="",0,C29-D29)</f>
        <v>0</v>
      </c>
      <c r="F29" s="1" t="n">
        <f aca="false">IFERROR(E29/C29,0)</f>
        <v>0</v>
      </c>
      <c r="G29" s="1" t="n">
        <f aca="false">B29+ROW()/10000</f>
        <v>0.0029</v>
      </c>
      <c r="N29" s="1" t="n">
        <f aca="false">E29+ROW()/10000</f>
        <v>0.0029</v>
      </c>
    </row>
    <row r="30" customFormat="false" ht="15" hidden="false" customHeight="true" outlineLevel="0" collapsed="false">
      <c r="B30" s="1" t="n">
        <f aca="false">IF(A30="",0,COUNTIF(ประวัติการขาย!D4:D203,A30))</f>
        <v>0</v>
      </c>
      <c r="C30" s="1" t="n">
        <f aca="false">IF(A30="",0,SUMIF(ประวัติการขาย!D4:D203,A30,ประวัติการขาย!H4:H203))</f>
        <v>0</v>
      </c>
      <c r="D30" s="1" t="n">
        <f aca="false">IF(A30="",0,SUMIF(ประวัติการขาย!D4:D203,A30,ประวัติการขาย!G4:G203))</f>
        <v>0</v>
      </c>
      <c r="E30" s="1" t="n">
        <f aca="false">IF(A30="",0,C30-D30)</f>
        <v>0</v>
      </c>
      <c r="F30" s="1" t="n">
        <f aca="false">IFERROR(E30/C30,0)</f>
        <v>0</v>
      </c>
      <c r="G30" s="1" t="n">
        <f aca="false">B30+ROW()/10000</f>
        <v>0.003</v>
      </c>
      <c r="N30" s="1" t="n">
        <f aca="false">E30+ROW()/10000</f>
        <v>0.003</v>
      </c>
    </row>
    <row r="31" customFormat="false" ht="15" hidden="false" customHeight="true" outlineLevel="0" collapsed="false">
      <c r="B31" s="1" t="n">
        <f aca="false">IF(A31="",0,COUNTIF(ประวัติการขาย!D4:D203,A31))</f>
        <v>0</v>
      </c>
      <c r="C31" s="1" t="n">
        <f aca="false">IF(A31="",0,SUMIF(ประวัติการขาย!D4:D203,A31,ประวัติการขาย!H4:H203))</f>
        <v>0</v>
      </c>
      <c r="D31" s="1" t="n">
        <f aca="false">IF(A31="",0,SUMIF(ประวัติการขาย!D4:D203,A31,ประวัติการขาย!G4:G203))</f>
        <v>0</v>
      </c>
      <c r="E31" s="1" t="n">
        <f aca="false">IF(A31="",0,C31-D31)</f>
        <v>0</v>
      </c>
      <c r="F31" s="1" t="n">
        <f aca="false">IFERROR(E31/C31,0)</f>
        <v>0</v>
      </c>
      <c r="G31" s="1" t="n">
        <f aca="false">B31+ROW()/10000</f>
        <v>0.0031</v>
      </c>
      <c r="N31" s="1" t="n">
        <f aca="false">E31+ROW()/10000</f>
        <v>0.0031</v>
      </c>
    </row>
    <row r="32" customFormat="false" ht="15" hidden="false" customHeight="true" outlineLevel="0" collapsed="false">
      <c r="B32" s="1" t="n">
        <f aca="false">IF(A32="",0,COUNTIF(ประวัติการขาย!D4:D203,A32))</f>
        <v>0</v>
      </c>
      <c r="C32" s="1" t="n">
        <f aca="false">IF(A32="",0,SUMIF(ประวัติการขาย!D4:D203,A32,ประวัติการขาย!H4:H203))</f>
        <v>0</v>
      </c>
      <c r="D32" s="1" t="n">
        <f aca="false">IF(A32="",0,SUMIF(ประวัติการขาย!D4:D203,A32,ประวัติการขาย!G4:G203))</f>
        <v>0</v>
      </c>
      <c r="E32" s="1" t="n">
        <f aca="false">IF(A32="",0,C32-D32)</f>
        <v>0</v>
      </c>
      <c r="F32" s="1" t="n">
        <f aca="false">IFERROR(E32/C32,0)</f>
        <v>0</v>
      </c>
      <c r="G32" s="1" t="n">
        <f aca="false">B32+ROW()/10000</f>
        <v>0.0032</v>
      </c>
      <c r="N32" s="1" t="n">
        <f aca="false">E32+ROW()/10000</f>
        <v>0.0032</v>
      </c>
    </row>
    <row r="33" customFormat="false" ht="15" hidden="false" customHeight="true" outlineLevel="0" collapsed="false">
      <c r="B33" s="1" t="n">
        <f aca="false">IF(A33="",0,COUNTIF(ประวัติการขาย!D4:D203,A33))</f>
        <v>0</v>
      </c>
      <c r="C33" s="1" t="n">
        <f aca="false">IF(A33="",0,SUMIF(ประวัติการขาย!D4:D203,A33,ประวัติการขาย!H4:H203))</f>
        <v>0</v>
      </c>
      <c r="D33" s="1" t="n">
        <f aca="false">IF(A33="",0,SUMIF(ประวัติการขาย!D4:D203,A33,ประวัติการขาย!G4:G203))</f>
        <v>0</v>
      </c>
      <c r="E33" s="1" t="n">
        <f aca="false">IF(A33="",0,C33-D33)</f>
        <v>0</v>
      </c>
      <c r="F33" s="1" t="n">
        <f aca="false">IFERROR(E33/C33,0)</f>
        <v>0</v>
      </c>
      <c r="G33" s="1" t="n">
        <f aca="false">B33+ROW()/10000</f>
        <v>0.0033</v>
      </c>
      <c r="N33" s="1" t="n">
        <f aca="false">E33+ROW()/10000</f>
        <v>0.0033</v>
      </c>
    </row>
    <row r="34" customFormat="false" ht="15" hidden="false" customHeight="true" outlineLevel="0" collapsed="false">
      <c r="B34" s="1" t="n">
        <f aca="false">IF(A34="",0,COUNTIF(ประวัติการขาย!D4:D203,A34))</f>
        <v>0</v>
      </c>
      <c r="C34" s="1" t="n">
        <f aca="false">IF(A34="",0,SUMIF(ประวัติการขาย!D4:D203,A34,ประวัติการขาย!H4:H203))</f>
        <v>0</v>
      </c>
      <c r="D34" s="1" t="n">
        <f aca="false">IF(A34="",0,SUMIF(ประวัติการขาย!D4:D203,A34,ประวัติการขาย!G4:G203))</f>
        <v>0</v>
      </c>
      <c r="E34" s="1" t="n">
        <f aca="false">IF(A34="",0,C34-D34)</f>
        <v>0</v>
      </c>
      <c r="F34" s="1" t="n">
        <f aca="false">IFERROR(E34/C34,0)</f>
        <v>0</v>
      </c>
      <c r="G34" s="1" t="n">
        <f aca="false">B34+ROW()/10000</f>
        <v>0.0034</v>
      </c>
      <c r="N34" s="1" t="n">
        <f aca="false">E34+ROW()/10000</f>
        <v>0.0034</v>
      </c>
    </row>
    <row r="35" customFormat="false" ht="15" hidden="false" customHeight="true" outlineLevel="0" collapsed="false">
      <c r="B35" s="1" t="n">
        <f aca="false">IF(A35="",0,COUNTIF(ประวัติการขาย!D4:D203,A35))</f>
        <v>0</v>
      </c>
      <c r="C35" s="1" t="n">
        <f aca="false">IF(A35="",0,SUMIF(ประวัติการขาย!D4:D203,A35,ประวัติการขาย!H4:H203))</f>
        <v>0</v>
      </c>
      <c r="D35" s="1" t="n">
        <f aca="false">IF(A35="",0,SUMIF(ประวัติการขาย!D4:D203,A35,ประวัติการขาย!G4:G203))</f>
        <v>0</v>
      </c>
      <c r="E35" s="1" t="n">
        <f aca="false">IF(A35="",0,C35-D35)</f>
        <v>0</v>
      </c>
      <c r="F35" s="1" t="n">
        <f aca="false">IFERROR(E35/C35,0)</f>
        <v>0</v>
      </c>
      <c r="G35" s="1" t="n">
        <f aca="false">B35+ROW()/10000</f>
        <v>0.0035</v>
      </c>
      <c r="N35" s="1" t="n">
        <f aca="false">E35+ROW()/10000</f>
        <v>0.0035</v>
      </c>
    </row>
    <row r="36" customFormat="false" ht="15" hidden="false" customHeight="true" outlineLevel="0" collapsed="false">
      <c r="B36" s="1" t="n">
        <f aca="false">IF(A36="",0,COUNTIF(ประวัติการขาย!D4:D203,A36))</f>
        <v>0</v>
      </c>
      <c r="C36" s="1" t="n">
        <f aca="false">IF(A36="",0,SUMIF(ประวัติการขาย!D4:D203,A36,ประวัติการขาย!H4:H203))</f>
        <v>0</v>
      </c>
      <c r="D36" s="1" t="n">
        <f aca="false">IF(A36="",0,SUMIF(ประวัติการขาย!D4:D203,A36,ประวัติการขาย!G4:G203))</f>
        <v>0</v>
      </c>
      <c r="E36" s="1" t="n">
        <f aca="false">IF(A36="",0,C36-D36)</f>
        <v>0</v>
      </c>
      <c r="F36" s="1" t="n">
        <f aca="false">IFERROR(E36/C36,0)</f>
        <v>0</v>
      </c>
      <c r="G36" s="1" t="n">
        <f aca="false">B36+ROW()/10000</f>
        <v>0.0036</v>
      </c>
      <c r="N36" s="1" t="n">
        <f aca="false">E36+ROW()/10000</f>
        <v>0.0036</v>
      </c>
    </row>
    <row r="37" customFormat="false" ht="15" hidden="false" customHeight="true" outlineLevel="0" collapsed="false">
      <c r="B37" s="1" t="n">
        <f aca="false">IF(A37="",0,COUNTIF(ประวัติการขาย!D4:D203,A37))</f>
        <v>0</v>
      </c>
      <c r="C37" s="1" t="n">
        <f aca="false">IF(A37="",0,SUMIF(ประวัติการขาย!D4:D203,A37,ประวัติการขาย!H4:H203))</f>
        <v>0</v>
      </c>
      <c r="D37" s="1" t="n">
        <f aca="false">IF(A37="",0,SUMIF(ประวัติการขาย!D4:D203,A37,ประวัติการขาย!G4:G203))</f>
        <v>0</v>
      </c>
      <c r="E37" s="1" t="n">
        <f aca="false">IF(A37="",0,C37-D37)</f>
        <v>0</v>
      </c>
      <c r="F37" s="1" t="n">
        <f aca="false">IFERROR(E37/C37,0)</f>
        <v>0</v>
      </c>
      <c r="G37" s="1" t="n">
        <f aca="false">B37+ROW()/10000</f>
        <v>0.0037</v>
      </c>
      <c r="N37" s="1" t="n">
        <f aca="false">E37+ROW()/10000</f>
        <v>0.0037</v>
      </c>
    </row>
    <row r="38" customFormat="false" ht="15" hidden="false" customHeight="true" outlineLevel="0" collapsed="false">
      <c r="B38" s="1" t="n">
        <f aca="false">IF(A38="",0,COUNTIF(ประวัติการขาย!D4:D203,A38))</f>
        <v>0</v>
      </c>
      <c r="C38" s="1" t="n">
        <f aca="false">IF(A38="",0,SUMIF(ประวัติการขาย!D4:D203,A38,ประวัติการขาย!H4:H203))</f>
        <v>0</v>
      </c>
      <c r="D38" s="1" t="n">
        <f aca="false">IF(A38="",0,SUMIF(ประวัติการขาย!D4:D203,A38,ประวัติการขาย!G4:G203))</f>
        <v>0</v>
      </c>
      <c r="E38" s="1" t="n">
        <f aca="false">IF(A38="",0,C38-D38)</f>
        <v>0</v>
      </c>
      <c r="F38" s="1" t="n">
        <f aca="false">IFERROR(E38/C38,0)</f>
        <v>0</v>
      </c>
      <c r="G38" s="1" t="n">
        <f aca="false">B38+ROW()/10000</f>
        <v>0.0038</v>
      </c>
      <c r="N38" s="1" t="n">
        <f aca="false">E38+ROW()/10000</f>
        <v>0.0038</v>
      </c>
    </row>
    <row r="39" customFormat="false" ht="15" hidden="false" customHeight="true" outlineLevel="0" collapsed="false">
      <c r="B39" s="1" t="n">
        <f aca="false">IF(A39="",0,COUNTIF(ประวัติการขาย!D4:D203,A39))</f>
        <v>0</v>
      </c>
      <c r="C39" s="1" t="n">
        <f aca="false">IF(A39="",0,SUMIF(ประวัติการขาย!D4:D203,A39,ประวัติการขาย!H4:H203))</f>
        <v>0</v>
      </c>
      <c r="D39" s="1" t="n">
        <f aca="false">IF(A39="",0,SUMIF(ประวัติการขาย!D4:D203,A39,ประวัติการขาย!G4:G203))</f>
        <v>0</v>
      </c>
      <c r="E39" s="1" t="n">
        <f aca="false">IF(A39="",0,C39-D39)</f>
        <v>0</v>
      </c>
      <c r="F39" s="1" t="n">
        <f aca="false">IFERROR(E39/C39,0)</f>
        <v>0</v>
      </c>
      <c r="G39" s="1" t="n">
        <f aca="false">B39+ROW()/10000</f>
        <v>0.0039</v>
      </c>
      <c r="N39" s="1" t="n">
        <f aca="false">E39+ROW()/10000</f>
        <v>0.0039</v>
      </c>
    </row>
    <row r="40" customFormat="false" ht="15" hidden="false" customHeight="true" outlineLevel="0" collapsed="false">
      <c r="B40" s="1" t="n">
        <f aca="false">IF(A40="",0,COUNTIF(ประวัติการขาย!D4:D203,A40))</f>
        <v>0</v>
      </c>
      <c r="C40" s="1" t="n">
        <f aca="false">IF(A40="",0,SUMIF(ประวัติการขาย!D4:D203,A40,ประวัติการขาย!H4:H203))</f>
        <v>0</v>
      </c>
      <c r="D40" s="1" t="n">
        <f aca="false">IF(A40="",0,SUMIF(ประวัติการขาย!D4:D203,A40,ประวัติการขาย!G4:G203))</f>
        <v>0</v>
      </c>
      <c r="E40" s="1" t="n">
        <f aca="false">IF(A40="",0,C40-D40)</f>
        <v>0</v>
      </c>
      <c r="F40" s="1" t="n">
        <f aca="false">IFERROR(E40/C40,0)</f>
        <v>0</v>
      </c>
      <c r="G40" s="1" t="n">
        <f aca="false">B40+ROW()/10000</f>
        <v>0.004</v>
      </c>
      <c r="N40" s="1" t="n">
        <f aca="false">E40+ROW()/10000</f>
        <v>0.004</v>
      </c>
    </row>
    <row r="41" customFormat="false" ht="15" hidden="false" customHeight="true" outlineLevel="0" collapsed="false">
      <c r="B41" s="1" t="n">
        <f aca="false">IF(A41="",0,COUNTIF(ประวัติการขาย!D4:D203,A41))</f>
        <v>0</v>
      </c>
      <c r="C41" s="1" t="n">
        <f aca="false">IF(A41="",0,SUMIF(ประวัติการขาย!D4:D203,A41,ประวัติการขาย!H4:H203))</f>
        <v>0</v>
      </c>
      <c r="D41" s="1" t="n">
        <f aca="false">IF(A41="",0,SUMIF(ประวัติการขาย!D4:D203,A41,ประวัติการขาย!G4:G203))</f>
        <v>0</v>
      </c>
      <c r="E41" s="1" t="n">
        <f aca="false">IF(A41="",0,C41-D41)</f>
        <v>0</v>
      </c>
      <c r="F41" s="1" t="n">
        <f aca="false">IFERROR(E41/C41,0)</f>
        <v>0</v>
      </c>
      <c r="G41" s="1" t="n">
        <f aca="false">B41+ROW()/10000</f>
        <v>0.0041</v>
      </c>
      <c r="N41" s="1" t="n">
        <f aca="false">E41+ROW()/10000</f>
        <v>0.0041</v>
      </c>
    </row>
    <row r="42" customFormat="false" ht="15" hidden="false" customHeight="true" outlineLevel="0" collapsed="false">
      <c r="B42" s="1" t="n">
        <f aca="false">IF(A42="",0,COUNTIF(ประวัติการขาย!D4:D203,A42))</f>
        <v>0</v>
      </c>
      <c r="C42" s="1" t="n">
        <f aca="false">IF(A42="",0,SUMIF(ประวัติการขาย!D4:D203,A42,ประวัติการขาย!H4:H203))</f>
        <v>0</v>
      </c>
      <c r="D42" s="1" t="n">
        <f aca="false">IF(A42="",0,SUMIF(ประวัติการขาย!D4:D203,A42,ประวัติการขาย!G4:G203))</f>
        <v>0</v>
      </c>
      <c r="E42" s="1" t="n">
        <f aca="false">IF(A42="",0,C42-D42)</f>
        <v>0</v>
      </c>
      <c r="F42" s="1" t="n">
        <f aca="false">IFERROR(E42/C42,0)</f>
        <v>0</v>
      </c>
      <c r="G42" s="1" t="n">
        <f aca="false">B42+ROW()/10000</f>
        <v>0.0042</v>
      </c>
      <c r="N42" s="1" t="n">
        <f aca="false">E42+ROW()/10000</f>
        <v>0.0042</v>
      </c>
    </row>
    <row r="43" customFormat="false" ht="15" hidden="false" customHeight="true" outlineLevel="0" collapsed="false">
      <c r="B43" s="1" t="n">
        <f aca="false">IF(A43="",0,COUNTIF(ประวัติการขาย!D4:D203,A43))</f>
        <v>0</v>
      </c>
      <c r="C43" s="1" t="n">
        <f aca="false">IF(A43="",0,SUMIF(ประวัติการขาย!D4:D203,A43,ประวัติการขาย!H4:H203))</f>
        <v>0</v>
      </c>
      <c r="D43" s="1" t="n">
        <f aca="false">IF(A43="",0,SUMIF(ประวัติการขาย!D4:D203,A43,ประวัติการขาย!G4:G203))</f>
        <v>0</v>
      </c>
      <c r="E43" s="1" t="n">
        <f aca="false">IF(A43="",0,C43-D43)</f>
        <v>0</v>
      </c>
      <c r="F43" s="1" t="n">
        <f aca="false">IFERROR(E43/C43,0)</f>
        <v>0</v>
      </c>
      <c r="G43" s="1" t="n">
        <f aca="false">B43+ROW()/10000</f>
        <v>0.0043</v>
      </c>
      <c r="N43" s="1" t="n">
        <f aca="false">E43+ROW()/10000</f>
        <v>0.0043</v>
      </c>
    </row>
    <row r="44" customFormat="false" ht="15" hidden="false" customHeight="true" outlineLevel="0" collapsed="false">
      <c r="B44" s="1" t="n">
        <f aca="false">IF(A44="",0,COUNTIF(ประวัติการขาย!D4:D203,A44))</f>
        <v>0</v>
      </c>
      <c r="C44" s="1" t="n">
        <f aca="false">IF(A44="",0,SUMIF(ประวัติการขาย!D4:D203,A44,ประวัติการขาย!H4:H203))</f>
        <v>0</v>
      </c>
      <c r="D44" s="1" t="n">
        <f aca="false">IF(A44="",0,SUMIF(ประวัติการขาย!D4:D203,A44,ประวัติการขาย!G4:G203))</f>
        <v>0</v>
      </c>
      <c r="E44" s="1" t="n">
        <f aca="false">IF(A44="",0,C44-D44)</f>
        <v>0</v>
      </c>
      <c r="F44" s="1" t="n">
        <f aca="false">IFERROR(E44/C44,0)</f>
        <v>0</v>
      </c>
      <c r="G44" s="1" t="n">
        <f aca="false">B44+ROW()/10000</f>
        <v>0.0044</v>
      </c>
      <c r="N44" s="1" t="n">
        <f aca="false">E44+ROW()/10000</f>
        <v>0.0044</v>
      </c>
    </row>
    <row r="45" customFormat="false" ht="15" hidden="false" customHeight="true" outlineLevel="0" collapsed="false">
      <c r="B45" s="1" t="n">
        <f aca="false">IF(A45="",0,COUNTIF(ประวัติการขาย!D4:D203,A45))</f>
        <v>0</v>
      </c>
      <c r="C45" s="1" t="n">
        <f aca="false">IF(A45="",0,SUMIF(ประวัติการขาย!D4:D203,A45,ประวัติการขาย!H4:H203))</f>
        <v>0</v>
      </c>
      <c r="D45" s="1" t="n">
        <f aca="false">IF(A45="",0,SUMIF(ประวัติการขาย!D4:D203,A45,ประวัติการขาย!G4:G203))</f>
        <v>0</v>
      </c>
      <c r="E45" s="1" t="n">
        <f aca="false">IF(A45="",0,C45-D45)</f>
        <v>0</v>
      </c>
      <c r="F45" s="1" t="n">
        <f aca="false">IFERROR(E45/C45,0)</f>
        <v>0</v>
      </c>
      <c r="G45" s="1" t="n">
        <f aca="false">B45+ROW()/10000</f>
        <v>0.0045</v>
      </c>
      <c r="N45" s="1" t="n">
        <f aca="false">E45+ROW()/10000</f>
        <v>0.0045</v>
      </c>
    </row>
    <row r="46" customFormat="false" ht="15" hidden="false" customHeight="true" outlineLevel="0" collapsed="false">
      <c r="B46" s="1" t="n">
        <f aca="false">IF(A46="",0,COUNTIF(ประวัติการขาย!D4:D203,A46))</f>
        <v>0</v>
      </c>
      <c r="C46" s="1" t="n">
        <f aca="false">IF(A46="",0,SUMIF(ประวัติการขาย!D4:D203,A46,ประวัติการขาย!H4:H203))</f>
        <v>0</v>
      </c>
      <c r="D46" s="1" t="n">
        <f aca="false">IF(A46="",0,SUMIF(ประวัติการขาย!D4:D203,A46,ประวัติการขาย!G4:G203))</f>
        <v>0</v>
      </c>
      <c r="E46" s="1" t="n">
        <f aca="false">IF(A46="",0,C46-D46)</f>
        <v>0</v>
      </c>
      <c r="F46" s="1" t="n">
        <f aca="false">IFERROR(E46/C46,0)</f>
        <v>0</v>
      </c>
      <c r="G46" s="1" t="n">
        <f aca="false">B46+ROW()/10000</f>
        <v>0.0046</v>
      </c>
      <c r="N46" s="1" t="n">
        <f aca="false">E46+ROW()/10000</f>
        <v>0.0046</v>
      </c>
    </row>
    <row r="47" customFormat="false" ht="15" hidden="false" customHeight="true" outlineLevel="0" collapsed="false">
      <c r="B47" s="1" t="n">
        <f aca="false">IF(A47="",0,COUNTIF(ประวัติการขาย!D4:D203,A47))</f>
        <v>0</v>
      </c>
      <c r="C47" s="1" t="n">
        <f aca="false">IF(A47="",0,SUMIF(ประวัติการขาย!D4:D203,A47,ประวัติการขาย!H4:H203))</f>
        <v>0</v>
      </c>
      <c r="D47" s="1" t="n">
        <f aca="false">IF(A47="",0,SUMIF(ประวัติการขาย!D4:D203,A47,ประวัติการขาย!G4:G203))</f>
        <v>0</v>
      </c>
      <c r="E47" s="1" t="n">
        <f aca="false">IF(A47="",0,C47-D47)</f>
        <v>0</v>
      </c>
      <c r="F47" s="1" t="n">
        <f aca="false">IFERROR(E47/C47,0)</f>
        <v>0</v>
      </c>
      <c r="G47" s="1" t="n">
        <f aca="false">B47+ROW()/10000</f>
        <v>0.0047</v>
      </c>
      <c r="N47" s="1" t="n">
        <f aca="false">E47+ROW()/10000</f>
        <v>0.0047</v>
      </c>
    </row>
    <row r="48" customFormat="false" ht="15" hidden="false" customHeight="true" outlineLevel="0" collapsed="false">
      <c r="B48" s="1" t="n">
        <f aca="false">IF(A48="",0,COUNTIF(ประวัติการขาย!D4:D203,A48))</f>
        <v>0</v>
      </c>
      <c r="C48" s="1" t="n">
        <f aca="false">IF(A48="",0,SUMIF(ประวัติการขาย!D4:D203,A48,ประวัติการขาย!H4:H203))</f>
        <v>0</v>
      </c>
      <c r="D48" s="1" t="n">
        <f aca="false">IF(A48="",0,SUMIF(ประวัติการขาย!D4:D203,A48,ประวัติการขาย!G4:G203))</f>
        <v>0</v>
      </c>
      <c r="E48" s="1" t="n">
        <f aca="false">IF(A48="",0,C48-D48)</f>
        <v>0</v>
      </c>
      <c r="F48" s="1" t="n">
        <f aca="false">IFERROR(E48/C48,0)</f>
        <v>0</v>
      </c>
      <c r="G48" s="1" t="n">
        <f aca="false">B48+ROW()/10000</f>
        <v>0.0048</v>
      </c>
      <c r="N48" s="1" t="n">
        <f aca="false">E48+ROW()/10000</f>
        <v>0.0048</v>
      </c>
    </row>
    <row r="49" customFormat="false" ht="15" hidden="false" customHeight="true" outlineLevel="0" collapsed="false">
      <c r="B49" s="1" t="n">
        <f aca="false">IF(A49="",0,COUNTIF(ประวัติการขาย!D4:D203,A49))</f>
        <v>0</v>
      </c>
      <c r="C49" s="1" t="n">
        <f aca="false">IF(A49="",0,SUMIF(ประวัติการขาย!D4:D203,A49,ประวัติการขาย!H4:H203))</f>
        <v>0</v>
      </c>
      <c r="D49" s="1" t="n">
        <f aca="false">IF(A49="",0,SUMIF(ประวัติการขาย!D4:D203,A49,ประวัติการขาย!G4:G203))</f>
        <v>0</v>
      </c>
      <c r="E49" s="1" t="n">
        <f aca="false">IF(A49="",0,C49-D49)</f>
        <v>0</v>
      </c>
      <c r="F49" s="1" t="n">
        <f aca="false">IFERROR(E49/C49,0)</f>
        <v>0</v>
      </c>
      <c r="G49" s="1" t="n">
        <f aca="false">B49+ROW()/10000</f>
        <v>0.0049</v>
      </c>
      <c r="N49" s="1" t="n">
        <f aca="false">E49+ROW()/10000</f>
        <v>0.0049</v>
      </c>
    </row>
    <row r="50" customFormat="false" ht="15" hidden="false" customHeight="true" outlineLevel="0" collapsed="false">
      <c r="B50" s="1" t="n">
        <f aca="false">IF(A50="",0,COUNTIF(ประวัติการขาย!D4:D203,A50))</f>
        <v>0</v>
      </c>
      <c r="C50" s="1" t="n">
        <f aca="false">IF(A50="",0,SUMIF(ประวัติการขาย!D4:D203,A50,ประวัติการขาย!H4:H203))</f>
        <v>0</v>
      </c>
      <c r="D50" s="1" t="n">
        <f aca="false">IF(A50="",0,SUMIF(ประวัติการขาย!D4:D203,A50,ประวัติการขาย!G4:G203))</f>
        <v>0</v>
      </c>
      <c r="E50" s="1" t="n">
        <f aca="false">IF(A50="",0,C50-D50)</f>
        <v>0</v>
      </c>
      <c r="F50" s="1" t="n">
        <f aca="false">IFERROR(E50/C50,0)</f>
        <v>0</v>
      </c>
      <c r="G50" s="1" t="n">
        <f aca="false">B50+ROW()/10000</f>
        <v>0.005</v>
      </c>
      <c r="N50" s="1" t="n">
        <f aca="false">E50+ROW()/10000</f>
        <v>0.005</v>
      </c>
    </row>
    <row r="51" customFormat="false" ht="15" hidden="false" customHeight="true" outlineLevel="0" collapsed="false">
      <c r="B51" s="1" t="n">
        <f aca="false">IF(A51="",0,COUNTIF(ประวัติการขาย!D4:D203,A51))</f>
        <v>0</v>
      </c>
      <c r="C51" s="1" t="n">
        <f aca="false">IF(A51="",0,SUMIF(ประวัติการขาย!D4:D203,A51,ประวัติการขาย!H4:H203))</f>
        <v>0</v>
      </c>
      <c r="D51" s="1" t="n">
        <f aca="false">IF(A51="",0,SUMIF(ประวัติการขาย!D4:D203,A51,ประวัติการขาย!G4:G203))</f>
        <v>0</v>
      </c>
      <c r="E51" s="1" t="n">
        <f aca="false">IF(A51="",0,C51-D51)</f>
        <v>0</v>
      </c>
      <c r="F51" s="1" t="n">
        <f aca="false">IFERROR(E51/C51,0)</f>
        <v>0</v>
      </c>
      <c r="G51" s="1" t="n">
        <f aca="false">B51+ROW()/10000</f>
        <v>0.0051</v>
      </c>
      <c r="N51" s="1" t="n">
        <f aca="false">E51+ROW()/10000</f>
        <v>0.0051</v>
      </c>
    </row>
    <row r="52" customFormat="false" ht="15" hidden="false" customHeight="true" outlineLevel="0" collapsed="false">
      <c r="B52" s="1" t="n">
        <f aca="false">IF(A52="",0,COUNTIF(ประวัติการขาย!D4:D203,A52))</f>
        <v>0</v>
      </c>
      <c r="C52" s="1" t="n">
        <f aca="false">IF(A52="",0,SUMIF(ประวัติการขาย!D4:D203,A52,ประวัติการขาย!H4:H203))</f>
        <v>0</v>
      </c>
      <c r="D52" s="1" t="n">
        <f aca="false">IF(A52="",0,SUMIF(ประวัติการขาย!D4:D203,A52,ประวัติการขาย!G4:G203))</f>
        <v>0</v>
      </c>
      <c r="E52" s="1" t="n">
        <f aca="false">IF(A52="",0,C52-D52)</f>
        <v>0</v>
      </c>
      <c r="F52" s="1" t="n">
        <f aca="false">IFERROR(E52/C52,0)</f>
        <v>0</v>
      </c>
      <c r="G52" s="1" t="n">
        <f aca="false">B52+ROW()/10000</f>
        <v>0.0052</v>
      </c>
      <c r="N52" s="1" t="n">
        <f aca="false">E52+ROW()/10000</f>
        <v>0.0052</v>
      </c>
    </row>
    <row r="53" customFormat="false" ht="15" hidden="false" customHeight="true" outlineLevel="0" collapsed="false">
      <c r="B53" s="1" t="n">
        <f aca="false">IF(A53="",0,COUNTIF(ประวัติการขาย!D4:D203,A53))</f>
        <v>0</v>
      </c>
      <c r="C53" s="1" t="n">
        <f aca="false">IF(A53="",0,SUMIF(ประวัติการขาย!D4:D203,A53,ประวัติการขาย!H4:H203))</f>
        <v>0</v>
      </c>
      <c r="D53" s="1" t="n">
        <f aca="false">IF(A53="",0,SUMIF(ประวัติการขาย!D4:D203,A53,ประวัติการขาย!G4:G203))</f>
        <v>0</v>
      </c>
      <c r="E53" s="1" t="n">
        <f aca="false">IF(A53="",0,C53-D53)</f>
        <v>0</v>
      </c>
      <c r="F53" s="1" t="n">
        <f aca="false">IFERROR(E53/C53,0)</f>
        <v>0</v>
      </c>
      <c r="G53" s="1" t="n">
        <f aca="false">B53+ROW()/10000</f>
        <v>0.0053</v>
      </c>
      <c r="N53" s="1" t="n">
        <f aca="false">E53+ROW()/10000</f>
        <v>0.0053</v>
      </c>
    </row>
    <row r="54" customFormat="false" ht="15" hidden="false" customHeight="true" outlineLevel="0" collapsed="false">
      <c r="B54" s="1" t="n">
        <f aca="false">IF(A54="",0,COUNTIF(ประวัติการขาย!D4:D203,A54))</f>
        <v>0</v>
      </c>
      <c r="C54" s="1" t="n">
        <f aca="false">IF(A54="",0,SUMIF(ประวัติการขาย!D4:D203,A54,ประวัติการขาย!H4:H203))</f>
        <v>0</v>
      </c>
      <c r="D54" s="1" t="n">
        <f aca="false">IF(A54="",0,SUMIF(ประวัติการขาย!D4:D203,A54,ประวัติการขาย!G4:G203))</f>
        <v>0</v>
      </c>
      <c r="E54" s="1" t="n">
        <f aca="false">IF(A54="",0,C54-D54)</f>
        <v>0</v>
      </c>
      <c r="F54" s="1" t="n">
        <f aca="false">IFERROR(E54/C54,0)</f>
        <v>0</v>
      </c>
      <c r="G54" s="1" t="n">
        <f aca="false">B54+ROW()/10000</f>
        <v>0.0054</v>
      </c>
      <c r="N54" s="1" t="n">
        <f aca="false">E54+ROW()/10000</f>
        <v>0.0054</v>
      </c>
    </row>
    <row r="55" customFormat="false" ht="15" hidden="false" customHeight="true" outlineLevel="0" collapsed="false">
      <c r="B55" s="1" t="n">
        <f aca="false">IF(A55="",0,COUNTIF(ประวัติการขาย!D4:D203,A55))</f>
        <v>0</v>
      </c>
      <c r="C55" s="1" t="n">
        <f aca="false">IF(A55="",0,SUMIF(ประวัติการขาย!D4:D203,A55,ประวัติการขาย!H4:H203))</f>
        <v>0</v>
      </c>
      <c r="D55" s="1" t="n">
        <f aca="false">IF(A55="",0,SUMIF(ประวัติการขาย!D4:D203,A55,ประวัติการขาย!G4:G203))</f>
        <v>0</v>
      </c>
      <c r="E55" s="1" t="n">
        <f aca="false">IF(A55="",0,C55-D55)</f>
        <v>0</v>
      </c>
      <c r="F55" s="1" t="n">
        <f aca="false">IFERROR(E55/C55,0)</f>
        <v>0</v>
      </c>
      <c r="G55" s="1" t="n">
        <f aca="false">B55+ROW()/10000</f>
        <v>0.0055</v>
      </c>
      <c r="N55" s="1" t="n">
        <f aca="false">E55+ROW()/10000</f>
        <v>0.0055</v>
      </c>
    </row>
    <row r="56" customFormat="false" ht="15" hidden="false" customHeight="true" outlineLevel="0" collapsed="false">
      <c r="B56" s="1" t="n">
        <f aca="false">IF(A56="",0,COUNTIF(ประวัติการขาย!D4:D203,A56))</f>
        <v>0</v>
      </c>
      <c r="C56" s="1" t="n">
        <f aca="false">IF(A56="",0,SUMIF(ประวัติการขาย!D4:D203,A56,ประวัติการขาย!H4:H203))</f>
        <v>0</v>
      </c>
      <c r="D56" s="1" t="n">
        <f aca="false">IF(A56="",0,SUMIF(ประวัติการขาย!D4:D203,A56,ประวัติการขาย!G4:G203))</f>
        <v>0</v>
      </c>
      <c r="E56" s="1" t="n">
        <f aca="false">IF(A56="",0,C56-D56)</f>
        <v>0</v>
      </c>
      <c r="F56" s="1" t="n">
        <f aca="false">IFERROR(E56/C56,0)</f>
        <v>0</v>
      </c>
      <c r="G56" s="1" t="n">
        <f aca="false">B56+ROW()/10000</f>
        <v>0.0056</v>
      </c>
      <c r="N56" s="1" t="n">
        <f aca="false">E56+ROW()/10000</f>
        <v>0.0056</v>
      </c>
    </row>
    <row r="57" customFormat="false" ht="15" hidden="false" customHeight="true" outlineLevel="0" collapsed="false">
      <c r="B57" s="1" t="n">
        <f aca="false">IF(A57="",0,COUNTIF(ประวัติการขาย!D4:D203,A57))</f>
        <v>0</v>
      </c>
      <c r="C57" s="1" t="n">
        <f aca="false">IF(A57="",0,SUMIF(ประวัติการขาย!D4:D203,A57,ประวัติการขาย!H4:H203))</f>
        <v>0</v>
      </c>
      <c r="D57" s="1" t="n">
        <f aca="false">IF(A57="",0,SUMIF(ประวัติการขาย!D4:D203,A57,ประวัติการขาย!G4:G203))</f>
        <v>0</v>
      </c>
      <c r="E57" s="1" t="n">
        <f aca="false">IF(A57="",0,C57-D57)</f>
        <v>0</v>
      </c>
      <c r="F57" s="1" t="n">
        <f aca="false">IFERROR(E57/C57,0)</f>
        <v>0</v>
      </c>
      <c r="G57" s="1" t="n">
        <f aca="false">B57+ROW()/10000</f>
        <v>0.0057</v>
      </c>
      <c r="N57" s="1" t="n">
        <f aca="false">E57+ROW()/10000</f>
        <v>0.0057</v>
      </c>
    </row>
    <row r="58" customFormat="false" ht="15" hidden="false" customHeight="true" outlineLevel="0" collapsed="false">
      <c r="B58" s="1" t="n">
        <f aca="false">IF(A58="",0,COUNTIF(ประวัติการขาย!D4:D203,A58))</f>
        <v>0</v>
      </c>
      <c r="C58" s="1" t="n">
        <f aca="false">IF(A58="",0,SUMIF(ประวัติการขาย!D4:D203,A58,ประวัติการขาย!H4:H203))</f>
        <v>0</v>
      </c>
      <c r="D58" s="1" t="n">
        <f aca="false">IF(A58="",0,SUMIF(ประวัติการขาย!D4:D203,A58,ประวัติการขาย!G4:G203))</f>
        <v>0</v>
      </c>
      <c r="E58" s="1" t="n">
        <f aca="false">IF(A58="",0,C58-D58)</f>
        <v>0</v>
      </c>
      <c r="F58" s="1" t="n">
        <f aca="false">IFERROR(E58/C58,0)</f>
        <v>0</v>
      </c>
      <c r="G58" s="1" t="n">
        <f aca="false">B58+ROW()/10000</f>
        <v>0.0058</v>
      </c>
      <c r="N58" s="1" t="n">
        <f aca="false">E58+ROW()/10000</f>
        <v>0.0058</v>
      </c>
    </row>
    <row r="59" customFormat="false" ht="15" hidden="false" customHeight="true" outlineLevel="0" collapsed="false">
      <c r="B59" s="1" t="n">
        <f aca="false">IF(A59="",0,COUNTIF(ประวัติการขาย!D4:D203,A59))</f>
        <v>0</v>
      </c>
      <c r="C59" s="1" t="n">
        <f aca="false">IF(A59="",0,SUMIF(ประวัติการขาย!D4:D203,A59,ประวัติการขาย!H4:H203))</f>
        <v>0</v>
      </c>
      <c r="D59" s="1" t="n">
        <f aca="false">IF(A59="",0,SUMIF(ประวัติการขาย!D4:D203,A59,ประวัติการขาย!G4:G203))</f>
        <v>0</v>
      </c>
      <c r="E59" s="1" t="n">
        <f aca="false">IF(A59="",0,C59-D59)</f>
        <v>0</v>
      </c>
      <c r="F59" s="1" t="n">
        <f aca="false">IFERROR(E59/C59,0)</f>
        <v>0</v>
      </c>
      <c r="G59" s="1" t="n">
        <f aca="false">B59+ROW()/10000</f>
        <v>0.0059</v>
      </c>
      <c r="N59" s="1" t="n">
        <f aca="false">E59+ROW()/10000</f>
        <v>0.0059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2026-04-30T02:50:36Z</dcterms:created>
  <dc:creator>openpyxl</dc:creator>
  <dc:description/>
  <dc:language>en-US</dc:language>
  <cp:lastModifiedBy/>
  <dcterms:modified xsi:type="dcterms:W3CDTF">2026-04-30T02:55:09Z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